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iajensen/Desktop/LuoS/study2/"/>
    </mc:Choice>
  </mc:AlternateContent>
  <xr:revisionPtr revIDLastSave="0" documentId="13_ncr:1_{FCB3A34F-2952-294D-92A7-8B883DCBD5B7}" xr6:coauthVersionLast="36" xr6:coauthVersionMax="36" xr10:uidLastSave="{00000000-0000-0000-0000-000000000000}"/>
  <bookViews>
    <workbookView xWindow="2400" yWindow="1680" windowWidth="27640" windowHeight="16940" xr2:uid="{98D0A743-27CE-A347-A55D-BAEBC75B745B}"/>
  </bookViews>
  <sheets>
    <sheet name="Sheet1" sheetId="1" r:id="rId1"/>
  </sheets>
  <definedNames>
    <definedName name="_xlnm._FilterDatabase" localSheetId="0" hidden="1">Sheet1!$A$1:$Z$121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10" i="1"/>
  <c r="B11" i="1"/>
  <c r="B12" i="1"/>
  <c r="B13" i="1"/>
  <c r="B16" i="1"/>
  <c r="B17" i="1"/>
  <c r="B20" i="1"/>
  <c r="B21" i="1"/>
  <c r="B22" i="1"/>
  <c r="B23" i="1"/>
  <c r="B24" i="1"/>
  <c r="B25" i="1"/>
  <c r="B28" i="1"/>
  <c r="B29" i="1"/>
  <c r="B32" i="1"/>
  <c r="B33" i="1"/>
  <c r="B34" i="1"/>
  <c r="B35" i="1"/>
  <c r="B38" i="1"/>
  <c r="B39" i="1"/>
  <c r="B40" i="1"/>
  <c r="B41" i="1"/>
  <c r="B42" i="1"/>
  <c r="B43" i="1"/>
  <c r="B46" i="1"/>
  <c r="B47" i="1"/>
  <c r="B50" i="1"/>
  <c r="B51" i="1"/>
  <c r="B54" i="1"/>
  <c r="B55" i="1"/>
  <c r="B56" i="1"/>
  <c r="B57" i="1"/>
  <c r="B58" i="1"/>
  <c r="B59" i="1"/>
  <c r="B62" i="1"/>
  <c r="B63" i="1"/>
  <c r="B66" i="1"/>
  <c r="B67" i="1"/>
  <c r="B70" i="1"/>
  <c r="B71" i="1"/>
  <c r="B72" i="1"/>
  <c r="B73" i="1"/>
  <c r="B76" i="1"/>
  <c r="B77" i="1"/>
  <c r="B78" i="1"/>
  <c r="B79" i="1"/>
  <c r="B80" i="1"/>
  <c r="B81" i="1"/>
  <c r="B82" i="1"/>
  <c r="B83" i="1"/>
  <c r="B84" i="1"/>
  <c r="B85" i="1"/>
  <c r="B88" i="1"/>
  <c r="B89" i="1"/>
  <c r="B92" i="1"/>
  <c r="B93" i="1"/>
  <c r="B96" i="1"/>
  <c r="B97" i="1"/>
  <c r="B98" i="1"/>
  <c r="B99" i="1"/>
  <c r="B102" i="1"/>
  <c r="B103" i="1"/>
  <c r="B104" i="1"/>
  <c r="B105" i="1"/>
  <c r="B106" i="1"/>
  <c r="B107" i="1"/>
  <c r="B110" i="1"/>
  <c r="B111" i="1"/>
  <c r="B112" i="1"/>
  <c r="B113" i="1"/>
  <c r="B114" i="1"/>
  <c r="B115" i="1"/>
  <c r="B118" i="1"/>
  <c r="B119" i="1"/>
</calcChain>
</file>

<file path=xl/sharedStrings.xml><?xml version="1.0" encoding="utf-8"?>
<sst xmlns="http://schemas.openxmlformats.org/spreadsheetml/2006/main" count="626" uniqueCount="74">
  <si>
    <t>Subject</t>
  </si>
  <si>
    <t>Condition</t>
  </si>
  <si>
    <t>Target</t>
  </si>
  <si>
    <t>Side</t>
  </si>
  <si>
    <t>Transducer</t>
  </si>
  <si>
    <t>Target_X</t>
  </si>
  <si>
    <t>Target_Y</t>
  </si>
  <si>
    <t>Target_Z</t>
  </si>
  <si>
    <t>Transducer_X</t>
  </si>
  <si>
    <t>Transducer_Y</t>
  </si>
  <si>
    <t>Transducer_Z</t>
  </si>
  <si>
    <t>Version_name default: crosshair offset = 19.00mm</t>
  </si>
  <si>
    <t xml:space="preserve">Focal_depth (mm) </t>
  </si>
  <si>
    <t xml:space="preserve"> Input_intensity (W/cm2)</t>
  </si>
  <si>
    <t>Pressure peak (in kPa) &lt;1MPa pressure</t>
  </si>
  <si>
    <t>ISPPA peak (in W/cm^2) &lt;190W/cm2</t>
  </si>
  <si>
    <t>ISPTA peak (in W/cm^2)</t>
  </si>
  <si>
    <t>Mechanical Index (MI) &lt;1.9</t>
  </si>
  <si>
    <t>Pressure target (in kPa) &lt;1MPa pressure</t>
  </si>
  <si>
    <t>ISPPA target (in W/cm^2)</t>
  </si>
  <si>
    <t>ISPTA target (in W/cm^2)</t>
  </si>
  <si>
    <t>Max Temp Skull</t>
  </si>
  <si>
    <t>Max Temp Brain</t>
  </si>
  <si>
    <t>Max thermal dose including cooling, in total 180s (&lt; 0.25  CEM43)</t>
  </si>
  <si>
    <t>ROI ISPPA 
(in W/cm^2)</t>
  </si>
  <si>
    <t>L</t>
  </si>
  <si>
    <t>lS_left1</t>
  </si>
  <si>
    <t>left</t>
  </si>
  <si>
    <t>CTX500</t>
  </si>
  <si>
    <t>Test2</t>
  </si>
  <si>
    <t>lS_right1</t>
  </si>
  <si>
    <t>right</t>
  </si>
  <si>
    <t>lS_left2</t>
  </si>
  <si>
    <t>lS_right2</t>
  </si>
  <si>
    <t>S02</t>
  </si>
  <si>
    <t>V</t>
  </si>
  <si>
    <t>HC</t>
  </si>
  <si>
    <t>DPX</t>
  </si>
  <si>
    <t>Test1</t>
  </si>
  <si>
    <t>S03</t>
  </si>
  <si>
    <t>HC_left</t>
  </si>
  <si>
    <t>DPX500</t>
  </si>
  <si>
    <t>Test4</t>
  </si>
  <si>
    <t>HC_right</t>
  </si>
  <si>
    <t>Test3</t>
  </si>
  <si>
    <t>S05</t>
  </si>
  <si>
    <t>S06</t>
  </si>
  <si>
    <t>Test5</t>
  </si>
  <si>
    <t>S07</t>
  </si>
  <si>
    <t>S08</t>
  </si>
  <si>
    <t>S09</t>
  </si>
  <si>
    <t>S10</t>
  </si>
  <si>
    <t>Test9</t>
  </si>
  <si>
    <t>S11</t>
  </si>
  <si>
    <t>Test6</t>
  </si>
  <si>
    <t>S12</t>
  </si>
  <si>
    <t>Test8</t>
  </si>
  <si>
    <t>Test10</t>
  </si>
  <si>
    <t>Test11</t>
  </si>
  <si>
    <t>S13</t>
  </si>
  <si>
    <t>S14</t>
  </si>
  <si>
    <t>S15</t>
  </si>
  <si>
    <t>Test7</t>
  </si>
  <si>
    <t>S16</t>
  </si>
  <si>
    <t>Test18</t>
  </si>
  <si>
    <t>S18</t>
  </si>
  <si>
    <t>S19</t>
  </si>
  <si>
    <t>S20</t>
  </si>
  <si>
    <t>S21</t>
  </si>
  <si>
    <t>S23</t>
  </si>
  <si>
    <t>S22</t>
  </si>
  <si>
    <t>DPX500_v2</t>
  </si>
  <si>
    <t>Test14</t>
  </si>
  <si>
    <t>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</si>
</sst>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/>
    <xf numFmtId="0" fontId="0" fillId="0" borderId="0" xfId="0" applyFill="1" applyAlignment="1">
      <alignment horizontal="right"/>
    </xf>
    <xf numFmtId="0" fontId="2" fillId="0" borderId="0" xfId="0" applyFont="1" applyFill="1"/>
    <xf numFmtId="0" fontId="3" fillId="0" borderId="0" xfId="0" applyFont="1" applyFill="1" applyAlignment="1">
      <alignment horizontal="right"/>
    </xf>
    <xf numFmtId="0" fontId="7" fillId="0" borderId="0" xfId="0" applyFont="1" applyFill="1"/>
    <xf numFmtId="0" fontId="7" fillId="0" borderId="0" xfId="0" applyFont="1" applyFill="1" applyAlignment="1">
      <alignment horizontal="right"/>
    </xf>
    <xf numFmtId="0" fontId="1" fillId="0" borderId="0" xfId="0" applyFont="1" applyFill="1"/>
    <xf numFmtId="0" fontId="3" fillId="0" borderId="0" xfId="0" applyFont="1" applyFill="1"/>
    <xf numFmtId="0" fontId="4" fillId="0" borderId="0" xfId="0" applyFont="1" applyFill="1"/>
    <xf numFmtId="0" fontId="5" fillId="0" borderId="0" xfId="0" applyFont="1" applyFill="1"/>
    <xf numFmtId="0" fontId="5" fillId="0" borderId="0" xfId="0" applyFont="1" applyFill="1" applyAlignment="1">
      <alignment horizontal="right"/>
    </xf>
    <xf numFmtId="0" fontId="6" fillId="0" borderId="0" xfId="0" applyFont="1" applyFill="1"/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9104F-A7A5-BB41-9FB8-0CC3650FC108}">
  <sheetPr filterMode="1"/>
  <dimension ref="A1:Z121"/>
  <sheetViews>
    <sheetView tabSelected="1" workbookViewId="0">
      <selection activeCell="B7" sqref="B7"/>
    </sheetView>
  </sheetViews>
  <sheetFormatPr baseColWidth="10" defaultColWidth="9.1640625" defaultRowHeight="16" x14ac:dyDescent="0.2"/>
  <cols>
    <col min="1" max="2" width="9.1640625" style="3" customWidth="1"/>
    <col min="3" max="12" width="9.1640625" style="3"/>
    <col min="13" max="13" width="15.6640625" style="3" customWidth="1"/>
    <col min="14" max="14" width="13.33203125" style="2" customWidth="1"/>
    <col min="15" max="15" width="14.5" style="2" customWidth="1"/>
    <col min="16" max="16" width="19.83203125" style="3" customWidth="1"/>
    <col min="17" max="17" width="12.5" style="3" customWidth="1"/>
    <col min="18" max="18" width="11" style="3" customWidth="1"/>
    <col min="19" max="19" width="13.83203125" style="3" customWidth="1"/>
    <col min="20" max="20" width="8" style="3" customWidth="1"/>
    <col min="21" max="21" width="11.1640625" style="3" customWidth="1"/>
    <col min="22" max="22" width="12.33203125" style="3" customWidth="1"/>
    <col min="23" max="23" width="7.1640625" style="3" customWidth="1"/>
    <col min="24" max="24" width="6.5" style="3" customWidth="1"/>
    <col min="25" max="25" width="15.5" style="3" customWidth="1"/>
    <col min="26" max="26" width="12.5" style="3" customWidth="1"/>
    <col min="27" max="16384" width="9.1640625" style="3"/>
  </cols>
  <sheetData>
    <row r="1" spans="1:26" s="1" customFormat="1" ht="80" x14ac:dyDescent="0.2">
      <c r="A1" s="1" t="s">
        <v>0</v>
      </c>
      <c r="B1" s="1" t="s">
        <v>73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s="4" customFormat="1" ht="15" hidden="1" customHeight="1" x14ac:dyDescent="0.2">
      <c r="A2" s="18" t="s">
        <v>34</v>
      </c>
      <c r="B2" s="4" t="str">
        <f>C2</f>
        <v>V</v>
      </c>
      <c r="C2" s="17" t="s">
        <v>35</v>
      </c>
      <c r="D2" s="5" t="s">
        <v>36</v>
      </c>
      <c r="E2" s="5" t="s">
        <v>27</v>
      </c>
      <c r="F2" s="5" t="s">
        <v>37</v>
      </c>
      <c r="G2" s="5">
        <v>126</v>
      </c>
      <c r="H2" s="5">
        <v>142</v>
      </c>
      <c r="I2" s="5">
        <v>125</v>
      </c>
      <c r="J2" s="5">
        <v>127</v>
      </c>
      <c r="K2" s="5">
        <v>254</v>
      </c>
      <c r="L2" s="5">
        <v>136</v>
      </c>
      <c r="M2" s="6" t="s">
        <v>38</v>
      </c>
      <c r="N2" s="7">
        <v>107</v>
      </c>
      <c r="O2" s="7">
        <v>75</v>
      </c>
      <c r="P2" s="5">
        <v>685.53268549999996</v>
      </c>
      <c r="Q2" s="5">
        <v>15.66516876</v>
      </c>
      <c r="R2" s="5">
        <v>1.5665168759999999</v>
      </c>
      <c r="S2" s="5">
        <v>0.96948962100000002</v>
      </c>
      <c r="T2" s="5">
        <v>376.62989219999997</v>
      </c>
      <c r="U2" s="5">
        <v>4.7283358570000003</v>
      </c>
      <c r="V2" s="5">
        <v>0.47283358599999997</v>
      </c>
      <c r="W2" s="5">
        <v>5.3062060000000004</v>
      </c>
      <c r="X2" s="5">
        <v>1.220364</v>
      </c>
      <c r="Y2" s="5">
        <v>0.16745699999999999</v>
      </c>
      <c r="Z2" s="5">
        <v>5.0744040000000004</v>
      </c>
    </row>
    <row r="3" spans="1:26" s="4" customFormat="1" ht="15" hidden="1" customHeight="1" x14ac:dyDescent="0.2">
      <c r="A3" s="18"/>
      <c r="B3" s="4" t="str">
        <f>C2</f>
        <v>V</v>
      </c>
      <c r="C3" s="17"/>
      <c r="D3" s="5" t="s">
        <v>36</v>
      </c>
      <c r="E3" s="5" t="s">
        <v>31</v>
      </c>
      <c r="F3" s="5" t="s">
        <v>37</v>
      </c>
      <c r="G3" s="5">
        <v>68</v>
      </c>
      <c r="H3" s="5">
        <v>139</v>
      </c>
      <c r="I3" s="5">
        <v>125</v>
      </c>
      <c r="J3" s="5">
        <v>75</v>
      </c>
      <c r="K3" s="5">
        <v>255</v>
      </c>
      <c r="L3" s="5">
        <v>130</v>
      </c>
      <c r="M3" s="6" t="s">
        <v>29</v>
      </c>
      <c r="N3" s="7">
        <v>109</v>
      </c>
      <c r="O3" s="7">
        <v>75</v>
      </c>
      <c r="P3" s="5">
        <v>693.60358269999995</v>
      </c>
      <c r="Q3" s="5">
        <v>16.036197659999999</v>
      </c>
      <c r="R3" s="5">
        <v>1.603619766</v>
      </c>
      <c r="S3" s="5">
        <v>0.98090359299999996</v>
      </c>
      <c r="T3" s="5">
        <v>333.62564900000001</v>
      </c>
      <c r="U3" s="5">
        <v>3.7102024560000002</v>
      </c>
      <c r="V3" s="5">
        <v>0.371020246</v>
      </c>
      <c r="W3" s="5">
        <v>4.928204</v>
      </c>
      <c r="X3" s="5">
        <v>1.7294959999999999</v>
      </c>
      <c r="Y3" s="5">
        <v>0.10988100000000001</v>
      </c>
      <c r="Z3" s="5">
        <v>4.0700120000000002</v>
      </c>
    </row>
    <row r="4" spans="1:26" s="4" customFormat="1" ht="15" hidden="1" customHeight="1" x14ac:dyDescent="0.2">
      <c r="A4" s="18" t="s">
        <v>45</v>
      </c>
      <c r="B4" s="4" t="str">
        <f>C4</f>
        <v>V</v>
      </c>
      <c r="C4" s="17" t="s">
        <v>35</v>
      </c>
      <c r="D4" s="5" t="s">
        <v>36</v>
      </c>
      <c r="E4" s="5" t="s">
        <v>27</v>
      </c>
      <c r="F4" s="5" t="s">
        <v>37</v>
      </c>
      <c r="G4" s="5">
        <v>124</v>
      </c>
      <c r="H4" s="5">
        <v>138</v>
      </c>
      <c r="I4" s="5">
        <v>132</v>
      </c>
      <c r="J4" s="5">
        <v>126</v>
      </c>
      <c r="K4" s="5">
        <v>244</v>
      </c>
      <c r="L4" s="5">
        <v>180</v>
      </c>
      <c r="M4" s="6" t="s">
        <v>44</v>
      </c>
      <c r="N4" s="7">
        <v>110</v>
      </c>
      <c r="O4" s="7">
        <v>75</v>
      </c>
      <c r="P4" s="5">
        <v>610.41584036535721</v>
      </c>
      <c r="Q4" s="5">
        <v>12.420249938964844</v>
      </c>
      <c r="R4" s="5">
        <v>1.2420249938964845</v>
      </c>
      <c r="S4" s="5">
        <v>0.86325836013205826</v>
      </c>
      <c r="T4" s="5">
        <v>397.67372077980275</v>
      </c>
      <c r="U4" s="5">
        <v>5.271479606628418</v>
      </c>
      <c r="V4" s="5">
        <v>0.52714796066284186</v>
      </c>
      <c r="W4" s="5">
        <v>4.3615036010742188</v>
      </c>
      <c r="X4" s="5">
        <v>0.55530929565429688</v>
      </c>
      <c r="Y4" s="5">
        <v>5.7366758584976196E-2</v>
      </c>
      <c r="Z4" s="5">
        <v>5.6579694747924805</v>
      </c>
    </row>
    <row r="5" spans="1:26" s="4" customFormat="1" ht="15" hidden="1" customHeight="1" x14ac:dyDescent="0.2">
      <c r="A5" s="18"/>
      <c r="B5" s="4" t="str">
        <f>C4</f>
        <v>V</v>
      </c>
      <c r="C5" s="17"/>
      <c r="D5" s="5" t="s">
        <v>36</v>
      </c>
      <c r="E5" s="5" t="s">
        <v>31</v>
      </c>
      <c r="F5" s="5" t="s">
        <v>37</v>
      </c>
      <c r="G5" s="5">
        <v>70</v>
      </c>
      <c r="H5" s="5">
        <v>139</v>
      </c>
      <c r="I5" s="5">
        <v>132</v>
      </c>
      <c r="J5" s="5">
        <v>62</v>
      </c>
      <c r="K5" s="5">
        <v>237</v>
      </c>
      <c r="L5" s="5">
        <v>185</v>
      </c>
      <c r="M5" s="6" t="s">
        <v>29</v>
      </c>
      <c r="N5" s="7">
        <v>106</v>
      </c>
      <c r="O5" s="7">
        <v>75</v>
      </c>
      <c r="P5" s="5">
        <v>581.43743138711159</v>
      </c>
      <c r="Q5" s="5">
        <v>11.268982887268066</v>
      </c>
      <c r="R5" s="5">
        <v>1.1268982887268066</v>
      </c>
      <c r="S5" s="5">
        <v>0.82227670113902906</v>
      </c>
      <c r="T5" s="5">
        <v>336.61763029250665</v>
      </c>
      <c r="U5" s="5">
        <v>3.7770476341247559</v>
      </c>
      <c r="V5" s="5">
        <v>0.37770476341247561</v>
      </c>
      <c r="W5" s="5">
        <v>4.2332229614257812</v>
      </c>
      <c r="X5" s="5">
        <v>0.62215042114257812</v>
      </c>
      <c r="Y5" s="5">
        <v>4.8861298710107803E-2</v>
      </c>
      <c r="Z5" s="5">
        <v>4.0013551712036133</v>
      </c>
    </row>
    <row r="6" spans="1:26" s="4" customFormat="1" ht="15" customHeight="1" x14ac:dyDescent="0.2">
      <c r="A6" s="18" t="s">
        <v>39</v>
      </c>
      <c r="B6" s="4" t="str">
        <f t="shared" ref="B6" si="0">C6</f>
        <v>L</v>
      </c>
      <c r="C6" s="17" t="s">
        <v>25</v>
      </c>
      <c r="D6" s="5" t="s">
        <v>26</v>
      </c>
      <c r="E6" s="5" t="s">
        <v>27</v>
      </c>
      <c r="F6" s="5" t="s">
        <v>28</v>
      </c>
      <c r="G6" s="5">
        <v>139</v>
      </c>
      <c r="H6" s="5">
        <v>117</v>
      </c>
      <c r="I6" s="5">
        <v>187</v>
      </c>
      <c r="J6" s="5">
        <v>176</v>
      </c>
      <c r="K6" s="5">
        <v>99</v>
      </c>
      <c r="L6" s="5">
        <v>213</v>
      </c>
      <c r="M6" s="6" t="s">
        <v>29</v>
      </c>
      <c r="N6" s="7">
        <v>40.299999999999997</v>
      </c>
      <c r="O6" s="7">
        <v>65</v>
      </c>
      <c r="P6" s="5">
        <v>608.3502031190668</v>
      </c>
      <c r="Q6" s="5">
        <v>12.336332321166992</v>
      </c>
      <c r="R6" s="5">
        <v>1.2336332321166994</v>
      </c>
      <c r="S6" s="5">
        <v>0.86033710792341145</v>
      </c>
      <c r="T6" s="5">
        <v>485.01935861237519</v>
      </c>
      <c r="U6" s="5">
        <v>7.8414592742919922</v>
      </c>
      <c r="V6" s="5">
        <v>0.78414592742919931</v>
      </c>
      <c r="W6" s="5">
        <v>3.721435546875</v>
      </c>
      <c r="X6" s="5">
        <v>0.76771163940429688</v>
      </c>
      <c r="Y6" s="5">
        <v>2.8092339634895325E-2</v>
      </c>
      <c r="Z6" s="5">
        <v>7.8414592742919922</v>
      </c>
    </row>
    <row r="7" spans="1:26" s="4" customFormat="1" ht="15" customHeight="1" x14ac:dyDescent="0.2">
      <c r="A7" s="18"/>
      <c r="B7" s="4" t="str">
        <f t="shared" ref="B7" si="1">C6</f>
        <v>L</v>
      </c>
      <c r="C7" s="17"/>
      <c r="D7" s="5" t="s">
        <v>32</v>
      </c>
      <c r="E7" s="5" t="s">
        <v>27</v>
      </c>
      <c r="F7" s="5" t="s">
        <v>28</v>
      </c>
      <c r="G7" s="5">
        <v>139</v>
      </c>
      <c r="H7" s="5">
        <v>124</v>
      </c>
      <c r="I7" s="5">
        <v>189</v>
      </c>
      <c r="J7" s="5">
        <v>176</v>
      </c>
      <c r="K7" s="5">
        <v>110</v>
      </c>
      <c r="L7" s="5">
        <v>217</v>
      </c>
      <c r="M7" s="6" t="s">
        <v>29</v>
      </c>
      <c r="N7" s="7">
        <v>40.299999999999997</v>
      </c>
      <c r="O7" s="7">
        <v>65</v>
      </c>
      <c r="P7" s="5">
        <v>613.75843702682118</v>
      </c>
      <c r="Q7" s="5">
        <v>12.556647300720215</v>
      </c>
      <c r="R7" s="5">
        <v>1.2556647300720216</v>
      </c>
      <c r="S7" s="5">
        <v>0.86798550566424371</v>
      </c>
      <c r="T7" s="5">
        <v>362.55505242447418</v>
      </c>
      <c r="U7" s="5">
        <v>4.3815388679504395</v>
      </c>
      <c r="V7" s="5">
        <v>0.43815388679504397</v>
      </c>
      <c r="W7" s="5">
        <v>3.7214279174804688</v>
      </c>
      <c r="X7" s="5">
        <v>0.93289947509765625</v>
      </c>
      <c r="Y7" s="5">
        <v>3.376283124089241E-2</v>
      </c>
      <c r="Z7" s="5">
        <v>4.3815388679504395</v>
      </c>
    </row>
    <row r="8" spans="1:26" s="4" customFormat="1" ht="15" customHeight="1" x14ac:dyDescent="0.2">
      <c r="A8" s="18"/>
      <c r="B8" s="4" t="s">
        <v>25</v>
      </c>
      <c r="C8" s="17"/>
      <c r="D8" s="5" t="s">
        <v>30</v>
      </c>
      <c r="E8" s="5" t="s">
        <v>31</v>
      </c>
      <c r="F8" s="5" t="s">
        <v>28</v>
      </c>
      <c r="G8" s="5">
        <v>59</v>
      </c>
      <c r="H8" s="5">
        <v>115</v>
      </c>
      <c r="I8" s="5">
        <v>185</v>
      </c>
      <c r="J8" s="5">
        <v>22</v>
      </c>
      <c r="K8" s="5">
        <v>91</v>
      </c>
      <c r="L8" s="5">
        <v>216</v>
      </c>
      <c r="M8" s="6" t="s">
        <v>29</v>
      </c>
      <c r="N8" s="7">
        <v>42.2</v>
      </c>
      <c r="O8" s="7">
        <v>65</v>
      </c>
      <c r="P8" s="5">
        <v>568.15989975700904</v>
      </c>
      <c r="Q8" s="5">
        <v>10.760189056396484</v>
      </c>
      <c r="R8" s="5">
        <v>1.0760189056396485</v>
      </c>
      <c r="S8" s="5">
        <v>0.80349943583290029</v>
      </c>
      <c r="T8" s="5">
        <v>424.36468659623347</v>
      </c>
      <c r="U8" s="5">
        <v>6.0028462409973145</v>
      </c>
      <c r="V8" s="5">
        <v>0.60028462409973149</v>
      </c>
      <c r="W8" s="5">
        <v>3.7214279174804688</v>
      </c>
      <c r="X8" s="5">
        <v>2.1764183044433594</v>
      </c>
      <c r="Y8" s="5">
        <v>3.55178602039814E-2</v>
      </c>
      <c r="Z8" s="5">
        <v>6.0028462409973145</v>
      </c>
    </row>
    <row r="9" spans="1:26" s="4" customFormat="1" ht="15" customHeight="1" x14ac:dyDescent="0.2">
      <c r="A9" s="18"/>
      <c r="B9" s="4" t="s">
        <v>25</v>
      </c>
      <c r="C9" s="17"/>
      <c r="D9" s="5" t="s">
        <v>33</v>
      </c>
      <c r="E9" s="5" t="s">
        <v>31</v>
      </c>
      <c r="F9" s="5" t="s">
        <v>28</v>
      </c>
      <c r="G9" s="5">
        <v>60</v>
      </c>
      <c r="H9" s="5">
        <v>120</v>
      </c>
      <c r="I9" s="5">
        <v>187</v>
      </c>
      <c r="J9" s="5">
        <v>21</v>
      </c>
      <c r="K9" s="5">
        <v>100</v>
      </c>
      <c r="L9" s="5">
        <v>220</v>
      </c>
      <c r="M9" s="6" t="s">
        <v>29</v>
      </c>
      <c r="N9" s="7">
        <v>42.2</v>
      </c>
      <c r="O9" s="7">
        <v>65</v>
      </c>
      <c r="P9" s="5">
        <v>562.05889890745834</v>
      </c>
      <c r="Q9" s="5">
        <v>10.530340194702148</v>
      </c>
      <c r="R9" s="5">
        <v>1.0530340194702148</v>
      </c>
      <c r="S9" s="5">
        <v>0.79487131768741592</v>
      </c>
      <c r="T9" s="5">
        <v>432.40874149051058</v>
      </c>
      <c r="U9" s="5">
        <v>6.2325773239135742</v>
      </c>
      <c r="V9" s="5">
        <v>0.62325773239135751</v>
      </c>
      <c r="W9" s="5">
        <v>3.7214317321777344</v>
      </c>
      <c r="X9" s="5">
        <v>2.1764144897460938</v>
      </c>
      <c r="Y9" s="5">
        <v>4.0923856198787689E-2</v>
      </c>
      <c r="Z9" s="5">
        <v>6.5885257720947266</v>
      </c>
    </row>
    <row r="10" spans="1:26" s="4" customFormat="1" ht="15" hidden="1" customHeight="1" x14ac:dyDescent="0.2">
      <c r="A10" s="18" t="s">
        <v>46</v>
      </c>
      <c r="B10" s="4" t="str">
        <f t="shared" ref="B10" si="2">C10</f>
        <v>V</v>
      </c>
      <c r="C10" s="17" t="s">
        <v>35</v>
      </c>
      <c r="D10" s="5" t="s">
        <v>36</v>
      </c>
      <c r="E10" s="5" t="s">
        <v>27</v>
      </c>
      <c r="F10" s="5" t="s">
        <v>37</v>
      </c>
      <c r="G10" s="5">
        <v>122</v>
      </c>
      <c r="H10" s="5">
        <v>130</v>
      </c>
      <c r="I10" s="5">
        <v>133</v>
      </c>
      <c r="J10" s="5">
        <v>113</v>
      </c>
      <c r="K10" s="5">
        <v>232</v>
      </c>
      <c r="L10" s="5">
        <v>203</v>
      </c>
      <c r="M10" s="6" t="s">
        <v>42</v>
      </c>
      <c r="N10" s="7">
        <v>117</v>
      </c>
      <c r="O10" s="7">
        <v>75</v>
      </c>
      <c r="P10" s="5">
        <v>595.65760904494016</v>
      </c>
      <c r="Q10" s="5">
        <v>11.82693290710449</v>
      </c>
      <c r="R10" s="5">
        <v>1.182693290710449</v>
      </c>
      <c r="S10" s="5">
        <v>0.84238706924208506</v>
      </c>
      <c r="T10" s="5">
        <v>389.42253275776199</v>
      </c>
      <c r="U10" s="5">
        <v>5.0549969673156738</v>
      </c>
      <c r="V10" s="5">
        <v>0.50549969673156736</v>
      </c>
      <c r="W10" s="5">
        <v>4.7850761413574219</v>
      </c>
      <c r="X10" s="5">
        <v>1.5574455261230471</v>
      </c>
      <c r="Y10" s="5">
        <v>9.730173647403717E-2</v>
      </c>
      <c r="Z10" s="5">
        <v>5.4427871704101562</v>
      </c>
    </row>
    <row r="11" spans="1:26" s="4" customFormat="1" ht="15" hidden="1" customHeight="1" x14ac:dyDescent="0.2">
      <c r="A11" s="18"/>
      <c r="B11" s="4" t="str">
        <f t="shared" ref="B11" si="3">C10</f>
        <v>V</v>
      </c>
      <c r="C11" s="17"/>
      <c r="D11" s="5" t="s">
        <v>36</v>
      </c>
      <c r="E11" s="5" t="s">
        <v>31</v>
      </c>
      <c r="F11" s="5" t="s">
        <v>37</v>
      </c>
      <c r="G11" s="5">
        <v>70</v>
      </c>
      <c r="H11" s="5">
        <v>126</v>
      </c>
      <c r="I11" s="5">
        <v>134</v>
      </c>
      <c r="J11" s="5">
        <v>66</v>
      </c>
      <c r="K11" s="5">
        <v>233</v>
      </c>
      <c r="L11" s="5">
        <v>197</v>
      </c>
      <c r="M11" s="6" t="s">
        <v>47</v>
      </c>
      <c r="N11" s="7">
        <v>119</v>
      </c>
      <c r="O11" s="7">
        <v>75</v>
      </c>
      <c r="P11" s="5">
        <v>898.48549888767036</v>
      </c>
      <c r="Q11" s="5">
        <v>26.909206390380859</v>
      </c>
      <c r="R11" s="5">
        <v>2.6909206390380862</v>
      </c>
      <c r="S11" s="5">
        <v>1.2706503781225</v>
      </c>
      <c r="T11" s="5">
        <v>384.18338000060459</v>
      </c>
      <c r="U11" s="5">
        <v>4.9198956489562988</v>
      </c>
      <c r="V11" s="5">
        <v>0.49198956489562989</v>
      </c>
      <c r="W11" s="5">
        <v>5.386077880859375</v>
      </c>
      <c r="X11" s="5">
        <v>2.3290061950683589</v>
      </c>
      <c r="Y11" s="5">
        <v>0.19043837487697601</v>
      </c>
      <c r="Z11" s="5">
        <v>5.6224665641784668</v>
      </c>
    </row>
    <row r="12" spans="1:26" s="4" customFormat="1" ht="15" customHeight="1" x14ac:dyDescent="0.2">
      <c r="A12" s="18" t="s">
        <v>48</v>
      </c>
      <c r="B12" s="4" t="str">
        <f t="shared" ref="B12" si="4">C12</f>
        <v>L</v>
      </c>
      <c r="C12" s="17" t="s">
        <v>25</v>
      </c>
      <c r="D12" s="5" t="s">
        <v>26</v>
      </c>
      <c r="E12" s="5" t="s">
        <v>27</v>
      </c>
      <c r="F12" s="5" t="s">
        <v>28</v>
      </c>
      <c r="G12" s="5">
        <v>137</v>
      </c>
      <c r="H12" s="5">
        <v>115</v>
      </c>
      <c r="I12" s="5">
        <v>188</v>
      </c>
      <c r="J12" s="5">
        <v>174</v>
      </c>
      <c r="K12" s="5">
        <v>103</v>
      </c>
      <c r="L12" s="5">
        <v>210</v>
      </c>
      <c r="M12" s="6" t="s">
        <v>38</v>
      </c>
      <c r="N12" s="7">
        <v>40.299999999999997</v>
      </c>
      <c r="O12" s="7">
        <v>65</v>
      </c>
      <c r="P12" s="5">
        <v>640.81318394103482</v>
      </c>
      <c r="Q12" s="5">
        <v>13.688051223754883</v>
      </c>
      <c r="R12" s="5">
        <v>1.3688051223754885</v>
      </c>
      <c r="S12" s="5">
        <v>0.9062466956768962</v>
      </c>
      <c r="T12" s="5">
        <v>640.81318394103482</v>
      </c>
      <c r="U12" s="5">
        <v>13.688051223754883</v>
      </c>
      <c r="V12" s="5">
        <v>1.3688051223754885</v>
      </c>
      <c r="W12" s="5">
        <v>2.5726470947265625</v>
      </c>
      <c r="X12" s="5">
        <v>1.57940673828125</v>
      </c>
      <c r="Y12" s="5">
        <v>7.7894479036331177E-3</v>
      </c>
      <c r="Z12" s="5">
        <v>13.688051223754883</v>
      </c>
    </row>
    <row r="13" spans="1:26" s="4" customFormat="1" ht="15" customHeight="1" x14ac:dyDescent="0.2">
      <c r="A13" s="18"/>
      <c r="B13" s="4" t="str">
        <f t="shared" ref="B13" si="5">C12</f>
        <v>L</v>
      </c>
      <c r="C13" s="17"/>
      <c r="D13" s="5" t="s">
        <v>32</v>
      </c>
      <c r="E13" s="5" t="s">
        <v>27</v>
      </c>
      <c r="F13" s="5" t="s">
        <v>28</v>
      </c>
      <c r="G13" s="5">
        <v>137</v>
      </c>
      <c r="H13" s="5">
        <v>122</v>
      </c>
      <c r="I13" s="5">
        <v>189</v>
      </c>
      <c r="J13" s="5">
        <v>174</v>
      </c>
      <c r="K13" s="5">
        <v>109</v>
      </c>
      <c r="L13" s="5">
        <v>212</v>
      </c>
      <c r="M13" s="6" t="s">
        <v>38</v>
      </c>
      <c r="N13" s="7">
        <v>40.299999999999997</v>
      </c>
      <c r="O13" s="7">
        <v>65</v>
      </c>
      <c r="P13" s="5">
        <v>632.23479851563184</v>
      </c>
      <c r="Q13" s="5">
        <v>13.324028015136719</v>
      </c>
      <c r="R13" s="5">
        <v>1.332402801513672</v>
      </c>
      <c r="S13" s="5">
        <v>0.89411502666502762</v>
      </c>
      <c r="T13" s="5">
        <v>619.93232819193713</v>
      </c>
      <c r="U13" s="5">
        <v>12.81053638458252</v>
      </c>
      <c r="V13" s="5">
        <v>1.281053638458252</v>
      </c>
      <c r="W13" s="5">
        <v>3.029388427734375</v>
      </c>
      <c r="X13" s="5">
        <v>1.7509422302246094</v>
      </c>
      <c r="Y13" s="5">
        <v>1.6609996557235718E-2</v>
      </c>
      <c r="Z13" s="5">
        <v>12.81053638458252</v>
      </c>
    </row>
    <row r="14" spans="1:26" s="4" customFormat="1" ht="15" customHeight="1" x14ac:dyDescent="0.2">
      <c r="A14" s="18"/>
      <c r="B14" s="4" t="s">
        <v>25</v>
      </c>
      <c r="C14" s="17"/>
      <c r="D14" s="5" t="s">
        <v>30</v>
      </c>
      <c r="E14" s="5" t="s">
        <v>31</v>
      </c>
      <c r="F14" s="5" t="s">
        <v>28</v>
      </c>
      <c r="G14" s="5">
        <v>65</v>
      </c>
      <c r="H14" s="5">
        <v>121</v>
      </c>
      <c r="I14" s="5">
        <v>191</v>
      </c>
      <c r="J14" s="5">
        <v>27</v>
      </c>
      <c r="K14" s="5">
        <v>110</v>
      </c>
      <c r="L14" s="5">
        <v>222</v>
      </c>
      <c r="M14" s="6" t="s">
        <v>29</v>
      </c>
      <c r="N14" s="7">
        <v>40.299999999999997</v>
      </c>
      <c r="O14" s="7">
        <v>65</v>
      </c>
      <c r="P14" s="5">
        <v>494.53605179466769</v>
      </c>
      <c r="Q14" s="5">
        <v>8.1521968841552734</v>
      </c>
      <c r="R14" s="5">
        <v>0.81521968841552739</v>
      </c>
      <c r="S14" s="5">
        <v>0.69937959153046236</v>
      </c>
      <c r="T14" s="5">
        <v>494.53605179466769</v>
      </c>
      <c r="U14" s="5">
        <v>8.1521968841552734</v>
      </c>
      <c r="V14" s="5">
        <v>0.81521968841552739</v>
      </c>
      <c r="W14" s="5">
        <v>2.3480300903320312</v>
      </c>
      <c r="X14" s="5">
        <v>1.2642555236816406</v>
      </c>
      <c r="Y14" s="5">
        <v>6.3938000239431858E-3</v>
      </c>
      <c r="Z14" s="5">
        <v>8.1521968841552734</v>
      </c>
    </row>
    <row r="15" spans="1:26" s="4" customFormat="1" ht="15" customHeight="1" x14ac:dyDescent="0.2">
      <c r="A15" s="18"/>
      <c r="B15" s="4" t="s">
        <v>25</v>
      </c>
      <c r="C15" s="17"/>
      <c r="D15" s="5" t="s">
        <v>33</v>
      </c>
      <c r="E15" s="5" t="s">
        <v>31</v>
      </c>
      <c r="F15" s="5" t="s">
        <v>28</v>
      </c>
      <c r="G15" s="5">
        <v>63</v>
      </c>
      <c r="H15" s="5">
        <v>126</v>
      </c>
      <c r="I15" s="5">
        <v>191</v>
      </c>
      <c r="J15" s="5">
        <v>26</v>
      </c>
      <c r="K15" s="5">
        <v>116</v>
      </c>
      <c r="L15" s="5">
        <v>223</v>
      </c>
      <c r="M15" s="6" t="s">
        <v>29</v>
      </c>
      <c r="N15" s="7">
        <v>40.299999999999997</v>
      </c>
      <c r="O15" s="7">
        <v>65</v>
      </c>
      <c r="P15" s="5">
        <v>561.87174998734179</v>
      </c>
      <c r="Q15" s="5">
        <v>10.52332878112793</v>
      </c>
      <c r="R15" s="5">
        <v>1.052332878112793</v>
      </c>
      <c r="S15" s="5">
        <v>0.79460664914640367</v>
      </c>
      <c r="T15" s="5">
        <v>469.66251817003229</v>
      </c>
      <c r="U15" s="5">
        <v>7.3527626991271973</v>
      </c>
      <c r="V15" s="5">
        <v>0.73527626991271977</v>
      </c>
      <c r="W15" s="5">
        <v>2.5631484985351562</v>
      </c>
      <c r="X15" s="5">
        <v>1.6478309631347656</v>
      </c>
      <c r="Y15" s="5">
        <v>1.3655197806656361E-2</v>
      </c>
      <c r="Z15" s="5">
        <v>7.3527626991271973</v>
      </c>
    </row>
    <row r="16" spans="1:26" s="4" customFormat="1" ht="15" customHeight="1" x14ac:dyDescent="0.2">
      <c r="A16" s="18" t="s">
        <v>34</v>
      </c>
      <c r="B16" s="4" t="str">
        <f t="shared" ref="B16" si="6">C16</f>
        <v>L</v>
      </c>
      <c r="C16" s="17" t="s">
        <v>25</v>
      </c>
      <c r="D16" s="5" t="s">
        <v>26</v>
      </c>
      <c r="E16" s="5" t="s">
        <v>27</v>
      </c>
      <c r="F16" s="5" t="s">
        <v>28</v>
      </c>
      <c r="G16" s="5">
        <v>140</v>
      </c>
      <c r="H16" s="5">
        <v>133</v>
      </c>
      <c r="I16" s="5">
        <v>178</v>
      </c>
      <c r="J16" s="5">
        <v>174</v>
      </c>
      <c r="K16" s="5">
        <v>123</v>
      </c>
      <c r="L16" s="5">
        <v>216</v>
      </c>
      <c r="M16" s="6" t="s">
        <v>29</v>
      </c>
      <c r="N16" s="7">
        <v>40.299999999999997</v>
      </c>
      <c r="O16" s="7">
        <v>65</v>
      </c>
      <c r="P16" s="5">
        <v>492.94799180616656</v>
      </c>
      <c r="Q16" s="5">
        <v>8.0999240875244141</v>
      </c>
      <c r="R16" s="5">
        <v>0.8099924087524415</v>
      </c>
      <c r="S16" s="5">
        <v>0.69713373555686209</v>
      </c>
      <c r="T16" s="5">
        <v>357.66875198931928</v>
      </c>
      <c r="U16" s="5">
        <v>4.2642312049865723</v>
      </c>
      <c r="V16" s="5">
        <v>0.42642312049865727</v>
      </c>
      <c r="W16" s="5">
        <v>2.7214241027832031</v>
      </c>
      <c r="X16" s="5">
        <v>0.39480209350585938</v>
      </c>
      <c r="Y16" s="5">
        <v>9.0591879561543465E-3</v>
      </c>
      <c r="Z16" s="5">
        <v>4.2642312049865723</v>
      </c>
    </row>
    <row r="17" spans="1:26" s="4" customFormat="1" ht="15" customHeight="1" x14ac:dyDescent="0.2">
      <c r="A17" s="18"/>
      <c r="B17" s="4" t="str">
        <f t="shared" ref="B17" si="7">C16</f>
        <v>L</v>
      </c>
      <c r="C17" s="17"/>
      <c r="D17" s="5" t="s">
        <v>32</v>
      </c>
      <c r="E17" s="5" t="s">
        <v>27</v>
      </c>
      <c r="F17" s="5" t="s">
        <v>28</v>
      </c>
      <c r="G17" s="5">
        <v>140</v>
      </c>
      <c r="H17" s="5">
        <v>138</v>
      </c>
      <c r="I17" s="5">
        <v>177</v>
      </c>
      <c r="J17" s="5">
        <v>180</v>
      </c>
      <c r="K17" s="5">
        <v>132</v>
      </c>
      <c r="L17" s="5">
        <v>218</v>
      </c>
      <c r="M17" s="6" t="s">
        <v>29</v>
      </c>
      <c r="N17" s="7">
        <v>44</v>
      </c>
      <c r="O17" s="7">
        <v>65</v>
      </c>
      <c r="P17" s="5">
        <v>555.35444540228195</v>
      </c>
      <c r="Q17" s="5">
        <v>10.280618667602539</v>
      </c>
      <c r="R17" s="5">
        <v>1.0280618667602539</v>
      </c>
      <c r="S17" s="5">
        <v>0.78538978861209563</v>
      </c>
      <c r="T17" s="5">
        <v>377.9796857067941</v>
      </c>
      <c r="U17" s="5">
        <v>4.7622880935668945</v>
      </c>
      <c r="V17" s="5">
        <v>0.47622880935668949</v>
      </c>
      <c r="W17" s="5">
        <v>4.01239013671875</v>
      </c>
      <c r="X17" s="5">
        <v>0.61684417724609375</v>
      </c>
      <c r="Y17" s="5">
        <v>4.6714987605810165E-2</v>
      </c>
      <c r="Z17" s="5">
        <v>4.7622880935668945</v>
      </c>
    </row>
    <row r="18" spans="1:26" s="4" customFormat="1" ht="15" customHeight="1" x14ac:dyDescent="0.2">
      <c r="A18" s="18"/>
      <c r="B18" s="4" t="s">
        <v>25</v>
      </c>
      <c r="C18" s="17"/>
      <c r="D18" s="5" t="s">
        <v>30</v>
      </c>
      <c r="E18" s="5" t="s">
        <v>31</v>
      </c>
      <c r="F18" s="5" t="s">
        <v>28</v>
      </c>
      <c r="G18" s="5">
        <v>61</v>
      </c>
      <c r="H18" s="5">
        <v>134</v>
      </c>
      <c r="I18" s="5">
        <v>180</v>
      </c>
      <c r="J18" s="5">
        <v>26</v>
      </c>
      <c r="K18" s="5">
        <v>132</v>
      </c>
      <c r="L18" s="5">
        <v>224</v>
      </c>
      <c r="M18" s="6" t="s">
        <v>29</v>
      </c>
      <c r="N18" s="7">
        <v>44</v>
      </c>
      <c r="O18" s="7">
        <v>65</v>
      </c>
      <c r="P18" s="5">
        <v>460.10355882501585</v>
      </c>
      <c r="Q18" s="5">
        <v>7.0565094947814941</v>
      </c>
      <c r="R18" s="5">
        <v>0.70565094947814944</v>
      </c>
      <c r="S18" s="5">
        <v>0.65068469298646459</v>
      </c>
      <c r="T18" s="5">
        <v>326.88162510651375</v>
      </c>
      <c r="U18" s="5">
        <v>3.5617198944091797</v>
      </c>
      <c r="V18" s="5">
        <v>0.35617198944091799</v>
      </c>
      <c r="W18" s="5">
        <v>4.0123863220214844</v>
      </c>
      <c r="X18" s="5">
        <v>0.79731369018554688</v>
      </c>
      <c r="Y18" s="5">
        <v>4.8994284123182297E-2</v>
      </c>
      <c r="Z18" s="5">
        <v>3.5617198944091797</v>
      </c>
    </row>
    <row r="19" spans="1:26" s="4" customFormat="1" ht="15" customHeight="1" x14ac:dyDescent="0.2">
      <c r="A19" s="18"/>
      <c r="B19" s="4" t="s">
        <v>25</v>
      </c>
      <c r="C19" s="17"/>
      <c r="D19" s="5" t="s">
        <v>33</v>
      </c>
      <c r="E19" s="5" t="s">
        <v>31</v>
      </c>
      <c r="F19" s="5" t="s">
        <v>28</v>
      </c>
      <c r="G19" s="5">
        <v>61</v>
      </c>
      <c r="H19" s="5">
        <v>140</v>
      </c>
      <c r="I19" s="5">
        <v>181</v>
      </c>
      <c r="J19" s="5">
        <v>23</v>
      </c>
      <c r="K19" s="5">
        <v>140</v>
      </c>
      <c r="L19" s="5">
        <v>227</v>
      </c>
      <c r="M19" s="6" t="s">
        <v>29</v>
      </c>
      <c r="N19" s="7">
        <v>45.9</v>
      </c>
      <c r="O19" s="7">
        <v>65</v>
      </c>
      <c r="P19" s="5">
        <v>521.16648382304254</v>
      </c>
      <c r="Q19" s="5">
        <v>9.0538167953491211</v>
      </c>
      <c r="R19" s="5">
        <v>0.90538167953491211</v>
      </c>
      <c r="S19" s="5">
        <v>0.73704070967684499</v>
      </c>
      <c r="T19" s="5">
        <v>404.6078401025627</v>
      </c>
      <c r="U19" s="5">
        <v>5.4569168090820312</v>
      </c>
      <c r="V19" s="5">
        <v>0.54569168090820319</v>
      </c>
      <c r="W19" s="5">
        <v>4.0123863220214844</v>
      </c>
      <c r="X19" s="5">
        <v>1.1616744995117188</v>
      </c>
      <c r="Y19" s="5">
        <v>5.0376571714878082E-2</v>
      </c>
      <c r="Z19" s="5">
        <v>5.4569168090820312</v>
      </c>
    </row>
    <row r="20" spans="1:26" s="4" customFormat="1" ht="15" hidden="1" customHeight="1" x14ac:dyDescent="0.2">
      <c r="A20" s="18" t="s">
        <v>39</v>
      </c>
      <c r="B20" s="4" t="str">
        <f t="shared" ref="B20" si="8">C20</f>
        <v>V</v>
      </c>
      <c r="C20" s="17" t="s">
        <v>35</v>
      </c>
      <c r="D20" s="5" t="s">
        <v>36</v>
      </c>
      <c r="E20" s="5" t="s">
        <v>27</v>
      </c>
      <c r="F20" s="5" t="s">
        <v>41</v>
      </c>
      <c r="G20" s="5">
        <v>120</v>
      </c>
      <c r="H20" s="5">
        <v>144</v>
      </c>
      <c r="I20" s="5">
        <v>143</v>
      </c>
      <c r="J20" s="5">
        <v>109</v>
      </c>
      <c r="K20" s="5">
        <v>249</v>
      </c>
      <c r="L20" s="5">
        <v>193</v>
      </c>
      <c r="M20" s="6" t="s">
        <v>44</v>
      </c>
      <c r="N20" s="7">
        <v>110</v>
      </c>
      <c r="O20" s="7">
        <v>75</v>
      </c>
      <c r="P20" s="5">
        <v>629.30585403714076</v>
      </c>
      <c r="Q20" s="5">
        <v>13.200861930847168</v>
      </c>
      <c r="R20" s="5">
        <v>1.320086193084717</v>
      </c>
      <c r="S20" s="5">
        <v>0.8899728736601078</v>
      </c>
      <c r="T20" s="5">
        <v>378.57629626350132</v>
      </c>
      <c r="U20" s="5">
        <v>4.7773337364196777</v>
      </c>
      <c r="V20" s="5">
        <v>0.47773337364196777</v>
      </c>
      <c r="W20" s="5">
        <v>4.8317146301269531</v>
      </c>
      <c r="X20" s="5">
        <v>1.5197982788085938</v>
      </c>
      <c r="Y20" s="5">
        <v>6.9038808345794678E-2</v>
      </c>
      <c r="Z20" s="5">
        <v>4.9945263862609863</v>
      </c>
    </row>
    <row r="21" spans="1:26" s="4" customFormat="1" ht="15" hidden="1" customHeight="1" x14ac:dyDescent="0.2">
      <c r="A21" s="18"/>
      <c r="B21" s="4" t="str">
        <f t="shared" ref="B21" si="9">C20</f>
        <v>V</v>
      </c>
      <c r="C21" s="17"/>
      <c r="D21" s="5" t="s">
        <v>36</v>
      </c>
      <c r="E21" s="5" t="s">
        <v>31</v>
      </c>
      <c r="F21" s="5" t="s">
        <v>41</v>
      </c>
      <c r="G21" s="5">
        <v>71</v>
      </c>
      <c r="H21" s="5">
        <v>142</v>
      </c>
      <c r="I21" s="5">
        <v>140</v>
      </c>
      <c r="J21" s="5">
        <v>81</v>
      </c>
      <c r="K21" s="5">
        <v>244</v>
      </c>
      <c r="L21" s="5">
        <v>203</v>
      </c>
      <c r="M21" s="6" t="s">
        <v>44</v>
      </c>
      <c r="N21" s="7">
        <v>110</v>
      </c>
      <c r="O21" s="7">
        <v>75</v>
      </c>
      <c r="P21" s="5">
        <v>616.97407955829203</v>
      </c>
      <c r="Q21" s="5">
        <v>12.688567161560059</v>
      </c>
      <c r="R21" s="5">
        <v>1.268856716156006</v>
      </c>
      <c r="S21" s="5">
        <v>0.87253311094399355</v>
      </c>
      <c r="T21" s="5">
        <v>400.09814488849219</v>
      </c>
      <c r="U21" s="5">
        <v>5.3359508514404297</v>
      </c>
      <c r="V21" s="5">
        <v>0.53359508514404297</v>
      </c>
      <c r="W21" s="5">
        <v>4.8914375305175781</v>
      </c>
      <c r="X21" s="5">
        <v>1.835235595703125</v>
      </c>
      <c r="Y21" s="5">
        <v>7.1516841650009155E-2</v>
      </c>
      <c r="Z21" s="5">
        <v>6.0568923950195312</v>
      </c>
    </row>
    <row r="22" spans="1:26" s="4" customFormat="1" ht="18" hidden="1" customHeight="1" x14ac:dyDescent="0.2">
      <c r="A22" s="18" t="s">
        <v>49</v>
      </c>
      <c r="B22" s="4" t="str">
        <f t="shared" ref="B22" si="10">C22</f>
        <v>V</v>
      </c>
      <c r="C22" s="17" t="s">
        <v>35</v>
      </c>
      <c r="D22" s="5" t="s">
        <v>36</v>
      </c>
      <c r="E22" s="5" t="s">
        <v>27</v>
      </c>
      <c r="F22" s="5" t="s">
        <v>41</v>
      </c>
      <c r="G22" s="5">
        <v>124</v>
      </c>
      <c r="H22" s="5">
        <v>142</v>
      </c>
      <c r="I22" s="5">
        <v>135</v>
      </c>
      <c r="J22" s="5">
        <v>119</v>
      </c>
      <c r="K22" s="5">
        <v>255</v>
      </c>
      <c r="L22" s="5">
        <v>166</v>
      </c>
      <c r="M22" s="6" t="s">
        <v>29</v>
      </c>
      <c r="N22" s="7">
        <v>113</v>
      </c>
      <c r="O22" s="7">
        <v>75</v>
      </c>
      <c r="P22" s="5">
        <v>747.81897995178156</v>
      </c>
      <c r="Q22" s="5">
        <v>18.641107559204102</v>
      </c>
      <c r="R22" s="5">
        <v>1.8641107559204102</v>
      </c>
      <c r="S22" s="5">
        <v>1.057575743647823</v>
      </c>
      <c r="T22" s="5">
        <v>366.92810636025359</v>
      </c>
      <c r="U22" s="5">
        <v>4.4878745079040527</v>
      </c>
      <c r="V22" s="5">
        <v>0.44878745079040527</v>
      </c>
      <c r="W22" s="5">
        <v>5.3055076599121094</v>
      </c>
      <c r="X22" s="5">
        <v>1.8331260681152344</v>
      </c>
      <c r="Y22" s="5">
        <v>0.16910108923912048</v>
      </c>
      <c r="Z22" s="5">
        <v>4.653019905090332</v>
      </c>
    </row>
    <row r="23" spans="1:26" s="4" customFormat="1" ht="15" hidden="1" customHeight="1" x14ac:dyDescent="0.2">
      <c r="A23" s="18"/>
      <c r="B23" s="4" t="str">
        <f t="shared" ref="B23" si="11">C22</f>
        <v>V</v>
      </c>
      <c r="C23" s="17"/>
      <c r="D23" s="5" t="s">
        <v>36</v>
      </c>
      <c r="E23" s="5" t="s">
        <v>31</v>
      </c>
      <c r="F23" s="5" t="s">
        <v>41</v>
      </c>
      <c r="G23" s="5">
        <v>70</v>
      </c>
      <c r="H23" s="5">
        <v>143</v>
      </c>
      <c r="I23" s="5">
        <v>137</v>
      </c>
      <c r="J23" s="5">
        <v>79</v>
      </c>
      <c r="K23" s="5">
        <v>253</v>
      </c>
      <c r="L23" s="5">
        <v>175</v>
      </c>
      <c r="M23" s="6" t="s">
        <v>42</v>
      </c>
      <c r="N23" s="7">
        <v>113</v>
      </c>
      <c r="O23" s="7">
        <v>75</v>
      </c>
      <c r="P23" s="5">
        <v>759.35906287529724</v>
      </c>
      <c r="Q23" s="5">
        <v>19.22087287902832</v>
      </c>
      <c r="R23" s="5">
        <v>1.9220872879028321</v>
      </c>
      <c r="S23" s="5">
        <v>1.0738958854291691</v>
      </c>
      <c r="T23" s="5">
        <v>329.88349548594374</v>
      </c>
      <c r="U23" s="5">
        <v>3.6274373531341553</v>
      </c>
      <c r="V23" s="5">
        <v>0.36274373531341553</v>
      </c>
      <c r="W23" s="5">
        <v>5.4595947265625</v>
      </c>
      <c r="X23" s="5">
        <v>1.6354446411132812</v>
      </c>
      <c r="Y23" s="5">
        <v>0.14655390381813049</v>
      </c>
      <c r="Z23" s="5">
        <v>4.0621137619018555</v>
      </c>
    </row>
    <row r="24" spans="1:26" s="4" customFormat="1" ht="15" customHeight="1" x14ac:dyDescent="0.2">
      <c r="A24" s="18" t="s">
        <v>46</v>
      </c>
      <c r="B24" s="4" t="str">
        <f t="shared" ref="B24" si="12">C24</f>
        <v>L</v>
      </c>
      <c r="C24" s="17" t="s">
        <v>25</v>
      </c>
      <c r="D24" s="5" t="s">
        <v>26</v>
      </c>
      <c r="E24" s="5" t="s">
        <v>27</v>
      </c>
      <c r="F24" s="5" t="s">
        <v>28</v>
      </c>
      <c r="G24" s="5">
        <v>135</v>
      </c>
      <c r="H24" s="5">
        <v>110</v>
      </c>
      <c r="I24" s="5">
        <v>183</v>
      </c>
      <c r="J24" s="5">
        <v>176</v>
      </c>
      <c r="K24" s="5">
        <v>99</v>
      </c>
      <c r="L24" s="5">
        <v>212</v>
      </c>
      <c r="M24" s="6" t="s">
        <v>29</v>
      </c>
      <c r="N24" s="7">
        <v>40.299999999999997</v>
      </c>
      <c r="O24" s="7">
        <v>65</v>
      </c>
      <c r="P24" s="5">
        <v>424.62548415746255</v>
      </c>
      <c r="Q24" s="5">
        <v>6.0102267265319824</v>
      </c>
      <c r="R24" s="5">
        <v>0.60102267265319831</v>
      </c>
      <c r="S24" s="5">
        <v>0.60051111862472528</v>
      </c>
      <c r="T24" s="5">
        <v>424.62548415746255</v>
      </c>
      <c r="U24" s="5">
        <v>6.0102267265319824</v>
      </c>
      <c r="V24" s="5">
        <v>0.60102267265319831</v>
      </c>
      <c r="W24" s="5">
        <v>2.6123809814453125</v>
      </c>
      <c r="X24" s="5">
        <v>0.81648635864257812</v>
      </c>
      <c r="Y24" s="5">
        <v>8.3229169249534607E-3</v>
      </c>
      <c r="Z24" s="5">
        <v>6.0102267265319824</v>
      </c>
    </row>
    <row r="25" spans="1:26" s="4" customFormat="1" ht="15" customHeight="1" x14ac:dyDescent="0.2">
      <c r="A25" s="18"/>
      <c r="B25" s="4" t="str">
        <f t="shared" ref="B25" si="13">C24</f>
        <v>L</v>
      </c>
      <c r="C25" s="17"/>
      <c r="D25" s="5" t="s">
        <v>32</v>
      </c>
      <c r="E25" s="5" t="s">
        <v>27</v>
      </c>
      <c r="F25" s="5" t="s">
        <v>28</v>
      </c>
      <c r="G25" s="5">
        <v>136</v>
      </c>
      <c r="H25" s="5">
        <v>113</v>
      </c>
      <c r="I25" s="5">
        <v>184</v>
      </c>
      <c r="J25" s="5">
        <v>178</v>
      </c>
      <c r="K25" s="5">
        <v>103</v>
      </c>
      <c r="L25" s="5">
        <v>213</v>
      </c>
      <c r="M25" s="6" t="s">
        <v>29</v>
      </c>
      <c r="N25" s="7">
        <v>40.299999999999997</v>
      </c>
      <c r="O25" s="7">
        <v>65</v>
      </c>
      <c r="P25" s="5">
        <v>515.09535897352009</v>
      </c>
      <c r="Q25" s="5">
        <v>8.8441076278686523</v>
      </c>
      <c r="R25" s="5">
        <v>0.88441076278686526</v>
      </c>
      <c r="S25" s="5">
        <v>0.72845484257578996</v>
      </c>
      <c r="T25" s="5">
        <v>411.21671640505099</v>
      </c>
      <c r="U25" s="5">
        <v>5.6366395950317383</v>
      </c>
      <c r="V25" s="5">
        <v>0.56366395950317383</v>
      </c>
      <c r="W25" s="5">
        <v>4.0633811950683594</v>
      </c>
      <c r="X25" s="5">
        <v>1.8705787658691406</v>
      </c>
      <c r="Y25" s="5">
        <v>4.9688771367073059E-2</v>
      </c>
      <c r="Z25" s="5">
        <v>5.6366395950317383</v>
      </c>
    </row>
    <row r="26" spans="1:26" s="4" customFormat="1" ht="15" customHeight="1" x14ac:dyDescent="0.2">
      <c r="A26" s="18"/>
      <c r="B26" s="4" t="s">
        <v>25</v>
      </c>
      <c r="C26" s="17"/>
      <c r="D26" s="5" t="s">
        <v>30</v>
      </c>
      <c r="E26" s="5" t="s">
        <v>31</v>
      </c>
      <c r="F26" s="5" t="s">
        <v>28</v>
      </c>
      <c r="G26" s="5">
        <v>59</v>
      </c>
      <c r="H26" s="5">
        <v>103</v>
      </c>
      <c r="I26" s="5">
        <v>181</v>
      </c>
      <c r="J26" s="5">
        <v>15</v>
      </c>
      <c r="K26" s="5">
        <v>87</v>
      </c>
      <c r="L26" s="5">
        <v>210</v>
      </c>
      <c r="M26" s="6" t="s">
        <v>29</v>
      </c>
      <c r="N26" s="7">
        <v>44</v>
      </c>
      <c r="O26" s="7">
        <v>65</v>
      </c>
      <c r="P26" s="5">
        <v>583.88274976699211</v>
      </c>
      <c r="Q26" s="5">
        <v>11.363968849182129</v>
      </c>
      <c r="R26" s="5">
        <v>1.1363968849182129</v>
      </c>
      <c r="S26" s="5">
        <v>0.82573490355617629</v>
      </c>
      <c r="T26" s="5">
        <v>472.98524614191945</v>
      </c>
      <c r="U26" s="5">
        <v>7.4571681022644043</v>
      </c>
      <c r="V26" s="5">
        <v>0.74571681022644043</v>
      </c>
      <c r="W26" s="5">
        <v>3.3381996154785156</v>
      </c>
      <c r="X26" s="5">
        <v>1.8705863952636719</v>
      </c>
      <c r="Y26" s="5">
        <v>1.8624637275934219E-2</v>
      </c>
      <c r="Z26" s="5">
        <v>7.4571681022644043</v>
      </c>
    </row>
    <row r="27" spans="1:26" s="4" customFormat="1" ht="15" customHeight="1" x14ac:dyDescent="0.2">
      <c r="A27" s="18"/>
      <c r="B27" s="4" t="s">
        <v>25</v>
      </c>
      <c r="C27" s="17"/>
      <c r="D27" s="5" t="s">
        <v>33</v>
      </c>
      <c r="E27" s="5" t="s">
        <v>31</v>
      </c>
      <c r="F27" s="5" t="s">
        <v>28</v>
      </c>
      <c r="G27" s="5">
        <v>60</v>
      </c>
      <c r="H27" s="5">
        <v>109</v>
      </c>
      <c r="I27" s="5">
        <v>183</v>
      </c>
      <c r="J27" s="5">
        <v>20</v>
      </c>
      <c r="K27" s="5">
        <v>93</v>
      </c>
      <c r="L27" s="5">
        <v>219</v>
      </c>
      <c r="M27" s="6" t="s">
        <v>29</v>
      </c>
      <c r="N27" s="7">
        <v>44</v>
      </c>
      <c r="O27" s="7">
        <v>65</v>
      </c>
      <c r="P27" s="5">
        <v>470.67738822760259</v>
      </c>
      <c r="Q27" s="5">
        <v>7.3845734596252441</v>
      </c>
      <c r="R27" s="5">
        <v>0.73845734596252444</v>
      </c>
      <c r="S27" s="5">
        <v>0.6656383459338221</v>
      </c>
      <c r="T27" s="5">
        <v>470.67738822760259</v>
      </c>
      <c r="U27" s="5">
        <v>7.3845734596252441</v>
      </c>
      <c r="V27" s="5">
        <v>0.73845734596252444</v>
      </c>
      <c r="W27" s="5">
        <v>4.0633811950683594</v>
      </c>
      <c r="X27" s="5">
        <v>1.8705787658691406</v>
      </c>
      <c r="Y27" s="5">
        <v>5.1876787096261978E-2</v>
      </c>
      <c r="Z27" s="5">
        <v>7.3845734596252441</v>
      </c>
    </row>
    <row r="28" spans="1:26" s="4" customFormat="1" ht="15" customHeight="1" x14ac:dyDescent="0.2">
      <c r="A28" s="18" t="s">
        <v>45</v>
      </c>
      <c r="B28" s="4" t="str">
        <f t="shared" ref="B28" si="14">C28</f>
        <v>L</v>
      </c>
      <c r="C28" s="17" t="s">
        <v>25</v>
      </c>
      <c r="D28" s="5" t="s">
        <v>26</v>
      </c>
      <c r="E28" s="5" t="s">
        <v>27</v>
      </c>
      <c r="F28" s="5" t="s">
        <v>28</v>
      </c>
      <c r="G28" s="5">
        <v>135</v>
      </c>
      <c r="H28" s="5">
        <v>125</v>
      </c>
      <c r="I28" s="5">
        <v>186</v>
      </c>
      <c r="J28" s="5">
        <v>173</v>
      </c>
      <c r="K28" s="5">
        <v>111</v>
      </c>
      <c r="L28" s="5">
        <v>213</v>
      </c>
      <c r="M28" s="6" t="s">
        <v>29</v>
      </c>
      <c r="N28" s="7">
        <v>40.299999999999997</v>
      </c>
      <c r="O28" s="7">
        <v>65</v>
      </c>
      <c r="P28" s="5">
        <v>545.3321917894225</v>
      </c>
      <c r="Q28" s="5">
        <v>9.9129066467285156</v>
      </c>
      <c r="R28" s="5">
        <v>0.99129066467285165</v>
      </c>
      <c r="S28" s="5">
        <v>0.77121618162724703</v>
      </c>
      <c r="T28" s="5">
        <v>470.55970852302937</v>
      </c>
      <c r="U28" s="5">
        <v>7.3808813095092773</v>
      </c>
      <c r="V28" s="5">
        <v>0.73808813095092773</v>
      </c>
      <c r="W28" s="5">
        <v>3.2046585083007812</v>
      </c>
      <c r="X28" s="5">
        <v>1.5445518493652344</v>
      </c>
      <c r="Y28" s="5">
        <v>1.4991831034421921E-2</v>
      </c>
      <c r="Z28" s="5">
        <v>7.3808813095092773</v>
      </c>
    </row>
    <row r="29" spans="1:26" s="4" customFormat="1" ht="15" customHeight="1" x14ac:dyDescent="0.2">
      <c r="A29" s="18"/>
      <c r="B29" s="4" t="str">
        <f t="shared" ref="B29" si="15">C28</f>
        <v>L</v>
      </c>
      <c r="C29" s="17"/>
      <c r="D29" s="5" t="s">
        <v>32</v>
      </c>
      <c r="E29" s="5" t="s">
        <v>27</v>
      </c>
      <c r="F29" s="5" t="s">
        <v>28</v>
      </c>
      <c r="G29" s="5">
        <v>136</v>
      </c>
      <c r="H29" s="5">
        <v>130</v>
      </c>
      <c r="I29" s="5">
        <v>186</v>
      </c>
      <c r="J29" s="5">
        <v>174</v>
      </c>
      <c r="K29" s="5">
        <v>118</v>
      </c>
      <c r="L29" s="5">
        <v>215</v>
      </c>
      <c r="M29" s="6" t="s">
        <v>29</v>
      </c>
      <c r="N29" s="7">
        <v>40.299999999999997</v>
      </c>
      <c r="O29" s="7">
        <v>65</v>
      </c>
      <c r="P29" s="5">
        <v>635.05498212537918</v>
      </c>
      <c r="Q29" s="5">
        <v>13.443161010742188</v>
      </c>
      <c r="R29" s="5">
        <v>1.3443161010742188</v>
      </c>
      <c r="S29" s="5">
        <v>0.89810336857431461</v>
      </c>
      <c r="T29" s="5">
        <v>476.19736988890577</v>
      </c>
      <c r="U29" s="5">
        <v>7.5587978363037109</v>
      </c>
      <c r="V29" s="5">
        <v>0.75587978363037112</v>
      </c>
      <c r="W29" s="5">
        <v>4.0266609191894531</v>
      </c>
      <c r="X29" s="5">
        <v>2.3506431579589844</v>
      </c>
      <c r="Y29" s="5">
        <v>4.7494105994701385E-2</v>
      </c>
      <c r="Z29" s="5">
        <v>7.5587978363037109</v>
      </c>
    </row>
    <row r="30" spans="1:26" s="4" customFormat="1" ht="15" customHeight="1" x14ac:dyDescent="0.2">
      <c r="A30" s="18"/>
      <c r="B30" s="4" t="s">
        <v>25</v>
      </c>
      <c r="C30" s="17"/>
      <c r="D30" s="5" t="s">
        <v>30</v>
      </c>
      <c r="E30" s="5" t="s">
        <v>31</v>
      </c>
      <c r="F30" s="5" t="s">
        <v>28</v>
      </c>
      <c r="G30" s="5">
        <v>59</v>
      </c>
      <c r="H30" s="5">
        <v>120</v>
      </c>
      <c r="I30" s="5">
        <v>183</v>
      </c>
      <c r="J30" s="5">
        <v>17</v>
      </c>
      <c r="K30" s="5">
        <v>108</v>
      </c>
      <c r="L30" s="5">
        <v>214</v>
      </c>
      <c r="M30" s="6" t="s">
        <v>29</v>
      </c>
      <c r="N30" s="7">
        <v>42.2</v>
      </c>
      <c r="O30" s="7">
        <v>65</v>
      </c>
      <c r="P30" s="5">
        <v>528.40293477966657</v>
      </c>
      <c r="Q30" s="5">
        <v>9.3069887161254883</v>
      </c>
      <c r="R30" s="5">
        <v>0.93069887161254883</v>
      </c>
      <c r="S30" s="5">
        <v>0.74727459676315044</v>
      </c>
      <c r="T30" s="5">
        <v>500.12382881315358</v>
      </c>
      <c r="U30" s="5">
        <v>8.3374614715576172</v>
      </c>
      <c r="V30" s="5">
        <v>0.83374614715576179</v>
      </c>
      <c r="W30" s="5">
        <v>3.2046585083007812</v>
      </c>
      <c r="X30" s="5">
        <v>2.35064697265625</v>
      </c>
      <c r="Y30" s="5">
        <v>1.6500735655426979E-2</v>
      </c>
      <c r="Z30" s="5">
        <v>8.3374614715576172</v>
      </c>
    </row>
    <row r="31" spans="1:26" s="4" customFormat="1" ht="15" customHeight="1" x14ac:dyDescent="0.2">
      <c r="A31" s="18"/>
      <c r="B31" s="4" t="s">
        <v>25</v>
      </c>
      <c r="C31" s="17"/>
      <c r="D31" s="5" t="s">
        <v>33</v>
      </c>
      <c r="E31" s="5" t="s">
        <v>31</v>
      </c>
      <c r="F31" s="5" t="s">
        <v>28</v>
      </c>
      <c r="G31" s="5">
        <v>59</v>
      </c>
      <c r="H31" s="5">
        <v>126</v>
      </c>
      <c r="I31" s="5">
        <v>184</v>
      </c>
      <c r="J31" s="5">
        <v>17</v>
      </c>
      <c r="K31" s="5">
        <v>114</v>
      </c>
      <c r="L31" s="5">
        <v>216</v>
      </c>
      <c r="M31" s="6" t="s">
        <v>29</v>
      </c>
      <c r="N31" s="7">
        <v>42.2</v>
      </c>
      <c r="O31" s="7">
        <v>65</v>
      </c>
      <c r="P31" s="5">
        <v>538.78556808990163</v>
      </c>
      <c r="Q31" s="5">
        <v>9.6763296127319336</v>
      </c>
      <c r="R31" s="5">
        <v>0.96763296127319343</v>
      </c>
      <c r="S31" s="5">
        <v>0.76195785760363155</v>
      </c>
      <c r="T31" s="5">
        <v>532.97420072829766</v>
      </c>
      <c r="U31" s="5">
        <v>9.4687166213989258</v>
      </c>
      <c r="V31" s="5">
        <v>0.9468716621398926</v>
      </c>
      <c r="W31" s="5">
        <v>4.0266609191894531</v>
      </c>
      <c r="X31" s="5">
        <v>2.3506431579589844</v>
      </c>
      <c r="Y31" s="5">
        <v>4.840334877371788E-2</v>
      </c>
      <c r="Z31" s="5">
        <v>9.4687166213989258</v>
      </c>
    </row>
    <row r="32" spans="1:26" s="4" customFormat="1" ht="15" hidden="1" customHeight="1" x14ac:dyDescent="0.2">
      <c r="A32" s="18" t="s">
        <v>48</v>
      </c>
      <c r="B32" s="4" t="str">
        <f t="shared" ref="B32:B80" si="16">C32</f>
        <v>V</v>
      </c>
      <c r="C32" s="17" t="s">
        <v>35</v>
      </c>
      <c r="D32" s="5" t="s">
        <v>40</v>
      </c>
      <c r="E32" s="5" t="s">
        <v>27</v>
      </c>
      <c r="F32" s="5" t="s">
        <v>41</v>
      </c>
      <c r="G32" s="5">
        <v>121</v>
      </c>
      <c r="H32" s="5">
        <v>144</v>
      </c>
      <c r="I32" s="5">
        <v>144</v>
      </c>
      <c r="J32" s="5">
        <v>119</v>
      </c>
      <c r="K32" s="5">
        <v>243</v>
      </c>
      <c r="L32" s="5">
        <v>199</v>
      </c>
      <c r="M32" s="6" t="s">
        <v>44</v>
      </c>
      <c r="N32" s="7">
        <v>108</v>
      </c>
      <c r="O32" s="7">
        <v>75</v>
      </c>
      <c r="P32" s="5">
        <v>607.36607335124131</v>
      </c>
      <c r="Q32" s="5">
        <v>12.296451568603516</v>
      </c>
      <c r="R32" s="5">
        <v>1.2296451568603517</v>
      </c>
      <c r="S32" s="5">
        <v>0.85894533825861752</v>
      </c>
      <c r="T32" s="5">
        <v>496.3130147979569</v>
      </c>
      <c r="U32" s="5">
        <v>8.2108869552612305</v>
      </c>
      <c r="V32" s="5">
        <v>0.82108869552612307</v>
      </c>
      <c r="W32" s="5">
        <v>4.1200828552246094</v>
      </c>
      <c r="X32" s="5">
        <v>1.7081756591796875</v>
      </c>
      <c r="Y32" s="5">
        <v>4.140598326921463E-2</v>
      </c>
      <c r="Z32" s="5">
        <v>9.2714147567749023</v>
      </c>
    </row>
    <row r="33" spans="1:26" s="4" customFormat="1" ht="15" hidden="1" customHeight="1" x14ac:dyDescent="0.2">
      <c r="A33" s="18"/>
      <c r="B33" s="4" t="str">
        <f t="shared" ref="B33:B81" si="17">C32</f>
        <v>V</v>
      </c>
      <c r="C33" s="17"/>
      <c r="D33" s="5" t="s">
        <v>43</v>
      </c>
      <c r="E33" s="5" t="s">
        <v>31</v>
      </c>
      <c r="F33" s="5" t="s">
        <v>41</v>
      </c>
      <c r="G33" s="5">
        <v>77</v>
      </c>
      <c r="H33" s="5">
        <v>144</v>
      </c>
      <c r="I33" s="5">
        <v>143</v>
      </c>
      <c r="J33" s="5">
        <v>89</v>
      </c>
      <c r="K33" s="5">
        <v>244</v>
      </c>
      <c r="L33" s="5">
        <v>201</v>
      </c>
      <c r="M33" s="6" t="s">
        <v>38</v>
      </c>
      <c r="N33" s="7">
        <v>107</v>
      </c>
      <c r="O33" s="7">
        <v>75</v>
      </c>
      <c r="P33" s="5">
        <v>609.43842631154121</v>
      </c>
      <c r="Q33" s="5">
        <v>12.38050651550293</v>
      </c>
      <c r="R33" s="5">
        <v>1.2380506515502931</v>
      </c>
      <c r="S33" s="5">
        <v>0.8618760879210976</v>
      </c>
      <c r="T33" s="5">
        <v>558.22582158688476</v>
      </c>
      <c r="U33" s="5">
        <v>10.387202262878418</v>
      </c>
      <c r="V33" s="5">
        <v>1.0387202262878419</v>
      </c>
      <c r="W33" s="5">
        <v>3.9883880615234375</v>
      </c>
      <c r="X33" s="5">
        <v>2.1728553771972656</v>
      </c>
      <c r="Y33" s="5">
        <v>3.5596761852502823E-2</v>
      </c>
      <c r="Z33" s="5">
        <v>12.38050651550293</v>
      </c>
    </row>
    <row r="34" spans="1:26" s="4" customFormat="1" ht="15" customHeight="1" x14ac:dyDescent="0.2">
      <c r="A34" s="18" t="s">
        <v>49</v>
      </c>
      <c r="B34" s="4" t="str">
        <f t="shared" ref="B34:B82" si="18">C34</f>
        <v>L</v>
      </c>
      <c r="C34" s="17" t="s">
        <v>25</v>
      </c>
      <c r="D34" s="5" t="s">
        <v>26</v>
      </c>
      <c r="E34" s="5" t="s">
        <v>27</v>
      </c>
      <c r="F34" s="5" t="s">
        <v>28</v>
      </c>
      <c r="G34" s="5">
        <v>140</v>
      </c>
      <c r="H34" s="5">
        <v>123</v>
      </c>
      <c r="I34" s="5">
        <v>189</v>
      </c>
      <c r="J34" s="5">
        <v>181</v>
      </c>
      <c r="K34" s="5">
        <v>110</v>
      </c>
      <c r="L34" s="5">
        <v>216</v>
      </c>
      <c r="M34" s="6" t="s">
        <v>38</v>
      </c>
      <c r="N34" s="7">
        <v>40.299999999999997</v>
      </c>
      <c r="O34" s="7">
        <v>65</v>
      </c>
      <c r="P34" s="5">
        <v>520.95907092271671</v>
      </c>
      <c r="Q34" s="5">
        <v>9.0466117858886719</v>
      </c>
      <c r="R34" s="5">
        <v>0.90466117858886719</v>
      </c>
      <c r="S34" s="5">
        <v>0.73674738354019309</v>
      </c>
      <c r="T34" s="5">
        <v>498.72532489514958</v>
      </c>
      <c r="U34" s="5">
        <v>8.290898323059082</v>
      </c>
      <c r="V34" s="5">
        <v>0.82908983230590827</v>
      </c>
      <c r="W34" s="5">
        <v>2.1454620361328125</v>
      </c>
      <c r="X34" s="5">
        <v>0.27515792846679688</v>
      </c>
      <c r="Y34" s="5">
        <v>5.1095425151288509E-3</v>
      </c>
      <c r="Z34" s="5">
        <v>8.290898323059082</v>
      </c>
    </row>
    <row r="35" spans="1:26" s="4" customFormat="1" ht="15" customHeight="1" x14ac:dyDescent="0.2">
      <c r="A35" s="18"/>
      <c r="B35" s="4" t="str">
        <f t="shared" ref="B35:B83" si="19">C34</f>
        <v>L</v>
      </c>
      <c r="C35" s="17"/>
      <c r="D35" s="5" t="s">
        <v>30</v>
      </c>
      <c r="E35" s="5" t="s">
        <v>31</v>
      </c>
      <c r="F35" s="5" t="s">
        <v>28</v>
      </c>
      <c r="G35" s="5">
        <v>60</v>
      </c>
      <c r="H35" s="5">
        <v>127</v>
      </c>
      <c r="I35" s="5">
        <v>188</v>
      </c>
      <c r="J35" s="5">
        <v>14</v>
      </c>
      <c r="K35" s="5">
        <v>114</v>
      </c>
      <c r="L35" s="5">
        <v>222</v>
      </c>
      <c r="M35" s="6" t="s">
        <v>38</v>
      </c>
      <c r="N35" s="7">
        <v>40.299999999999997</v>
      </c>
      <c r="O35" s="7">
        <v>65</v>
      </c>
      <c r="P35" s="5">
        <v>475.84668541038747</v>
      </c>
      <c r="Q35" s="5">
        <v>7.5476689338684082</v>
      </c>
      <c r="R35" s="5">
        <v>0.75476689338684089</v>
      </c>
      <c r="S35" s="5">
        <v>0.67294883611765355</v>
      </c>
      <c r="T35" s="5">
        <v>475.84668541038747</v>
      </c>
      <c r="U35" s="5">
        <v>7.5476689338684082</v>
      </c>
      <c r="V35" s="5">
        <v>0.75476689338684089</v>
      </c>
      <c r="W35" s="5">
        <v>2.1454620361328125</v>
      </c>
      <c r="X35" s="5">
        <v>0.33294677734375</v>
      </c>
      <c r="Y35" s="5">
        <v>6.3279494643211365E-3</v>
      </c>
      <c r="Z35" s="5">
        <v>7.5476689338684082</v>
      </c>
    </row>
    <row r="36" spans="1:26" s="4" customFormat="1" ht="15" customHeight="1" x14ac:dyDescent="0.2">
      <c r="A36" s="18"/>
      <c r="B36" s="4" t="s">
        <v>25</v>
      </c>
      <c r="C36" s="17"/>
      <c r="D36" s="5" t="s">
        <v>32</v>
      </c>
      <c r="E36" s="5" t="s">
        <v>27</v>
      </c>
      <c r="F36" s="5" t="s">
        <v>28</v>
      </c>
      <c r="G36" s="5">
        <v>139</v>
      </c>
      <c r="H36" s="5">
        <v>129</v>
      </c>
      <c r="I36" s="5">
        <v>188</v>
      </c>
      <c r="J36" s="5">
        <v>183</v>
      </c>
      <c r="K36" s="5">
        <v>117</v>
      </c>
      <c r="L36" s="5">
        <v>217</v>
      </c>
      <c r="M36" s="6" t="s">
        <v>38</v>
      </c>
      <c r="N36" s="7">
        <v>40.299999999999997</v>
      </c>
      <c r="O36" s="7">
        <v>65</v>
      </c>
      <c r="P36" s="5">
        <v>556.21920725425753</v>
      </c>
      <c r="Q36" s="5">
        <v>10.312660217285156</v>
      </c>
      <c r="R36" s="5">
        <v>1.0312660217285157</v>
      </c>
      <c r="S36" s="5">
        <v>0.78661274655138236</v>
      </c>
      <c r="T36" s="5">
        <v>540.71497526770963</v>
      </c>
      <c r="U36" s="5">
        <v>9.7457561492919922</v>
      </c>
      <c r="V36" s="5">
        <v>0.97457561492919931</v>
      </c>
      <c r="W36" s="5">
        <v>2.533660888671875</v>
      </c>
      <c r="X36" s="5">
        <v>0.33294677734375</v>
      </c>
      <c r="Y36" s="5">
        <v>1.117177028208971E-2</v>
      </c>
      <c r="Z36" s="5">
        <v>9.9025754928588867</v>
      </c>
    </row>
    <row r="37" spans="1:26" s="4" customFormat="1" ht="15" customHeight="1" x14ac:dyDescent="0.2">
      <c r="A37" s="18"/>
      <c r="B37" s="4" t="s">
        <v>25</v>
      </c>
      <c r="C37" s="17"/>
      <c r="D37" s="5" t="s">
        <v>33</v>
      </c>
      <c r="E37" s="5" t="s">
        <v>31</v>
      </c>
      <c r="F37" s="5" t="s">
        <v>28</v>
      </c>
      <c r="G37" s="5">
        <v>60</v>
      </c>
      <c r="H37" s="5">
        <v>133</v>
      </c>
      <c r="I37" s="5">
        <v>190</v>
      </c>
      <c r="J37" s="5">
        <v>16</v>
      </c>
      <c r="K37" s="5">
        <v>122</v>
      </c>
      <c r="L37" s="5">
        <v>229</v>
      </c>
      <c r="M37" s="6" t="s">
        <v>38</v>
      </c>
      <c r="N37" s="7">
        <v>42.2</v>
      </c>
      <c r="O37" s="7">
        <v>65</v>
      </c>
      <c r="P37" s="5">
        <v>498.91416902407019</v>
      </c>
      <c r="Q37" s="5">
        <v>8.2971782684326172</v>
      </c>
      <c r="R37" s="5">
        <v>0.82971782684326179</v>
      </c>
      <c r="S37" s="5">
        <v>0.70557118429394272</v>
      </c>
      <c r="T37" s="5">
        <v>498.91416902407019</v>
      </c>
      <c r="U37" s="5">
        <v>8.2971782684326172</v>
      </c>
      <c r="V37" s="5">
        <v>0.82971782684326179</v>
      </c>
      <c r="W37" s="5">
        <v>2.533660888671875</v>
      </c>
      <c r="X37" s="5">
        <v>0.40320968627929688</v>
      </c>
      <c r="Y37" s="5">
        <v>1.2593092396855354E-2</v>
      </c>
      <c r="Z37" s="5">
        <v>8.2971782684326172</v>
      </c>
    </row>
    <row r="38" spans="1:26" s="4" customFormat="1" ht="15" hidden="1" customHeight="1" x14ac:dyDescent="0.2">
      <c r="A38" s="18" t="s">
        <v>50</v>
      </c>
      <c r="B38" s="4" t="str">
        <f t="shared" ref="B38:B62" si="20">C38</f>
        <v>V</v>
      </c>
      <c r="C38" s="17" t="s">
        <v>35</v>
      </c>
      <c r="D38" s="5" t="s">
        <v>36</v>
      </c>
      <c r="E38" s="5" t="s">
        <v>27</v>
      </c>
      <c r="F38" s="5" t="s">
        <v>37</v>
      </c>
      <c r="G38" s="5">
        <v>122</v>
      </c>
      <c r="H38" s="5">
        <v>136</v>
      </c>
      <c r="I38" s="5">
        <v>133</v>
      </c>
      <c r="J38" s="5">
        <v>117</v>
      </c>
      <c r="K38" s="5">
        <v>235</v>
      </c>
      <c r="L38" s="5">
        <v>196</v>
      </c>
      <c r="M38" s="6" t="s">
        <v>42</v>
      </c>
      <c r="N38" s="7">
        <v>107</v>
      </c>
      <c r="O38" s="7">
        <v>75</v>
      </c>
      <c r="P38" s="5">
        <v>651.30891324783374</v>
      </c>
      <c r="Q38" s="5">
        <v>14.140110015869141</v>
      </c>
      <c r="R38" s="5">
        <v>1.4140110015869141</v>
      </c>
      <c r="S38" s="5">
        <v>0.92108989840956801</v>
      </c>
      <c r="T38" s="5">
        <v>365.9289343895868</v>
      </c>
      <c r="U38" s="5">
        <v>4.4634661674499512</v>
      </c>
      <c r="V38" s="5">
        <v>0.44634661674499521</v>
      </c>
      <c r="W38" s="5">
        <v>4.9112815856933594</v>
      </c>
      <c r="X38" s="5">
        <v>1.5803565979003911</v>
      </c>
      <c r="Y38" s="5">
        <v>0.1067948862910271</v>
      </c>
      <c r="Z38" s="5">
        <v>4.6544647216796884</v>
      </c>
    </row>
    <row r="39" spans="1:26" s="4" customFormat="1" ht="15" hidden="1" customHeight="1" x14ac:dyDescent="0.2">
      <c r="A39" s="18"/>
      <c r="B39" s="4" t="str">
        <f t="shared" ref="B39:B63" si="21">C38</f>
        <v>V</v>
      </c>
      <c r="C39" s="17"/>
      <c r="D39" s="5" t="s">
        <v>36</v>
      </c>
      <c r="E39" s="5" t="s">
        <v>31</v>
      </c>
      <c r="F39" s="5" t="s">
        <v>37</v>
      </c>
      <c r="G39" s="5">
        <v>71</v>
      </c>
      <c r="H39" s="5">
        <v>136</v>
      </c>
      <c r="I39" s="5">
        <v>135</v>
      </c>
      <c r="J39" s="5">
        <v>81</v>
      </c>
      <c r="K39" s="5">
        <v>236</v>
      </c>
      <c r="L39" s="5">
        <v>195</v>
      </c>
      <c r="M39" s="6" t="s">
        <v>42</v>
      </c>
      <c r="N39" s="7">
        <v>107</v>
      </c>
      <c r="O39" s="7">
        <v>75</v>
      </c>
      <c r="P39" s="5">
        <v>720.74849800008928</v>
      </c>
      <c r="Q39" s="5">
        <v>17.315946578979489</v>
      </c>
      <c r="R39" s="5">
        <v>1.7315946578979491</v>
      </c>
      <c r="S39" s="5">
        <v>1.019292300931764</v>
      </c>
      <c r="T39" s="5">
        <v>337.74352294900689</v>
      </c>
      <c r="U39" s="5">
        <v>3.8023562431335449</v>
      </c>
      <c r="V39" s="5">
        <v>0.3802356243133545</v>
      </c>
      <c r="W39" s="5">
        <v>4.6000289916992188</v>
      </c>
      <c r="X39" s="5">
        <v>2.0633506774902339</v>
      </c>
      <c r="Y39" s="5">
        <v>7.6024457812309265E-2</v>
      </c>
      <c r="Z39" s="5">
        <v>3.9738209247589111</v>
      </c>
    </row>
    <row r="40" spans="1:26" s="4" customFormat="1" ht="15" hidden="1" customHeight="1" x14ac:dyDescent="0.2">
      <c r="A40" s="18" t="s">
        <v>51</v>
      </c>
      <c r="B40" s="4" t="str">
        <f t="shared" ref="B40:B88" si="22">C40</f>
        <v>V</v>
      </c>
      <c r="C40" s="17" t="s">
        <v>35</v>
      </c>
      <c r="D40" s="5" t="s">
        <v>40</v>
      </c>
      <c r="E40" s="5" t="s">
        <v>27</v>
      </c>
      <c r="F40" s="5" t="s">
        <v>41</v>
      </c>
      <c r="G40" s="5">
        <v>121</v>
      </c>
      <c r="H40" s="5">
        <v>137</v>
      </c>
      <c r="I40" s="5">
        <v>120</v>
      </c>
      <c r="J40" s="5">
        <v>119</v>
      </c>
      <c r="K40" s="5">
        <v>252</v>
      </c>
      <c r="L40" s="5">
        <v>157</v>
      </c>
      <c r="M40" s="6" t="s">
        <v>42</v>
      </c>
      <c r="N40" s="7">
        <v>117</v>
      </c>
      <c r="O40" s="7">
        <v>75</v>
      </c>
      <c r="P40" s="5">
        <v>655.6321859920514</v>
      </c>
      <c r="Q40" s="5">
        <v>14.328452110290527</v>
      </c>
      <c r="R40" s="5">
        <v>1.4328452110290528</v>
      </c>
      <c r="S40" s="5">
        <v>0.92720392935827856</v>
      </c>
      <c r="T40" s="5">
        <v>394.78668706298282</v>
      </c>
      <c r="U40" s="5">
        <v>5.1952176094055176</v>
      </c>
      <c r="V40" s="5">
        <v>0.5195217609405518</v>
      </c>
      <c r="W40" s="5">
        <v>5.1565780639648438</v>
      </c>
      <c r="X40" s="5">
        <v>1.3797874450683594</v>
      </c>
      <c r="Y40" s="5">
        <v>9.8476618528366089E-2</v>
      </c>
      <c r="Z40" s="5">
        <v>5.4023871421813965</v>
      </c>
    </row>
    <row r="41" spans="1:26" s="4" customFormat="1" ht="15" hidden="1" customHeight="1" x14ac:dyDescent="0.2">
      <c r="A41" s="18"/>
      <c r="B41" s="4" t="str">
        <f t="shared" ref="B41:B89" si="23">C40</f>
        <v>V</v>
      </c>
      <c r="C41" s="17"/>
      <c r="D41" s="5" t="s">
        <v>43</v>
      </c>
      <c r="E41" s="5" t="s">
        <v>31</v>
      </c>
      <c r="F41" s="5" t="s">
        <v>41</v>
      </c>
      <c r="G41" s="5">
        <v>69</v>
      </c>
      <c r="H41" s="5">
        <v>130</v>
      </c>
      <c r="I41" s="5">
        <v>125</v>
      </c>
      <c r="J41" s="5">
        <v>71</v>
      </c>
      <c r="K41" s="5">
        <v>248</v>
      </c>
      <c r="L41" s="5">
        <v>166</v>
      </c>
      <c r="M41" s="6" t="s">
        <v>52</v>
      </c>
      <c r="N41" s="7">
        <v>119</v>
      </c>
      <c r="O41" s="7">
        <v>75</v>
      </c>
      <c r="P41" s="5">
        <v>629.01627804262944</v>
      </c>
      <c r="Q41" s="5">
        <v>13.188715934753418</v>
      </c>
      <c r="R41" s="5">
        <v>1.3188715934753419</v>
      </c>
      <c r="S41" s="5">
        <v>0.88956335136133224</v>
      </c>
      <c r="T41" s="5">
        <v>405.90999166479384</v>
      </c>
      <c r="U41" s="5">
        <v>5.4920973777770996</v>
      </c>
      <c r="V41" s="5">
        <v>0.54920973777770998</v>
      </c>
      <c r="W41" s="5">
        <v>5.3467445373535156</v>
      </c>
      <c r="X41" s="5">
        <v>1.71978759765625</v>
      </c>
      <c r="Y41" s="5">
        <v>0.18327197432518005</v>
      </c>
      <c r="Z41" s="5">
        <v>5.9657793045043945</v>
      </c>
    </row>
    <row r="42" spans="1:26" s="4" customFormat="1" ht="15" customHeight="1" x14ac:dyDescent="0.2">
      <c r="A42" s="18" t="s">
        <v>50</v>
      </c>
      <c r="B42" s="4" t="str">
        <f t="shared" ref="B42:B66" si="24">C42</f>
        <v>L</v>
      </c>
      <c r="C42" s="17" t="s">
        <v>25</v>
      </c>
      <c r="D42" s="5" t="s">
        <v>26</v>
      </c>
      <c r="E42" s="5" t="s">
        <v>27</v>
      </c>
      <c r="F42" s="5" t="s">
        <v>28</v>
      </c>
      <c r="G42" s="5">
        <v>138</v>
      </c>
      <c r="H42" s="5">
        <v>120</v>
      </c>
      <c r="I42" s="5">
        <v>184</v>
      </c>
      <c r="J42" s="5">
        <v>179</v>
      </c>
      <c r="K42" s="5">
        <v>105</v>
      </c>
      <c r="L42" s="5">
        <v>212</v>
      </c>
      <c r="M42" s="6" t="s">
        <v>38</v>
      </c>
      <c r="N42" s="7">
        <v>40.299999999999997</v>
      </c>
      <c r="O42" s="7">
        <v>65</v>
      </c>
      <c r="P42" s="5">
        <v>527.57476493751756</v>
      </c>
      <c r="Q42" s="5">
        <v>9.2778377532958984</v>
      </c>
      <c r="R42" s="5">
        <v>0.92778377532958989</v>
      </c>
      <c r="S42" s="5">
        <v>0.74610338774043494</v>
      </c>
      <c r="T42" s="5">
        <v>526.71449544676966</v>
      </c>
      <c r="U42" s="5">
        <v>9.2476053237915039</v>
      </c>
      <c r="V42" s="5">
        <v>0.92476053237915046</v>
      </c>
      <c r="W42" s="5">
        <v>3.3104705810546875</v>
      </c>
      <c r="X42" s="5">
        <v>0.945220947265625</v>
      </c>
      <c r="Y42" s="5">
        <v>1.7339983955025673E-2</v>
      </c>
      <c r="Z42" s="5">
        <v>9.2476053237915039</v>
      </c>
    </row>
    <row r="43" spans="1:26" s="4" customFormat="1" ht="15" customHeight="1" x14ac:dyDescent="0.2">
      <c r="A43" s="18"/>
      <c r="B43" s="4" t="str">
        <f t="shared" ref="B43:B67" si="25">C42</f>
        <v>L</v>
      </c>
      <c r="C43" s="17"/>
      <c r="D43" s="5" t="s">
        <v>32</v>
      </c>
      <c r="E43" s="5" t="s">
        <v>27</v>
      </c>
      <c r="F43" s="5" t="s">
        <v>28</v>
      </c>
      <c r="G43" s="5">
        <v>139</v>
      </c>
      <c r="H43" s="5">
        <v>126</v>
      </c>
      <c r="I43" s="5">
        <v>183</v>
      </c>
      <c r="J43" s="5">
        <v>182</v>
      </c>
      <c r="K43" s="5">
        <v>112</v>
      </c>
      <c r="L43" s="5">
        <v>212</v>
      </c>
      <c r="M43" s="6" t="s">
        <v>38</v>
      </c>
      <c r="N43" s="7">
        <v>42.2</v>
      </c>
      <c r="O43" s="7">
        <v>65</v>
      </c>
      <c r="P43" s="5">
        <v>594.78188243329873</v>
      </c>
      <c r="Q43" s="5">
        <v>11.792182922363281</v>
      </c>
      <c r="R43" s="5">
        <v>1.1792182922363281</v>
      </c>
      <c r="S43" s="5">
        <v>0.84114860479097076</v>
      </c>
      <c r="T43" s="5">
        <v>539.59600171077614</v>
      </c>
      <c r="U43" s="5">
        <v>9.7054615020751953</v>
      </c>
      <c r="V43" s="5">
        <v>0.97054615020751955</v>
      </c>
      <c r="W43" s="5">
        <v>4.244842529296875</v>
      </c>
      <c r="X43" s="5">
        <v>1.4475173950195312</v>
      </c>
      <c r="Y43" s="5">
        <v>5.5345091968774796E-2</v>
      </c>
      <c r="Z43" s="5">
        <v>9.7054615020751953</v>
      </c>
    </row>
    <row r="44" spans="1:26" s="4" customFormat="1" ht="15" customHeight="1" x14ac:dyDescent="0.2">
      <c r="A44" s="18"/>
      <c r="B44" s="4" t="s">
        <v>25</v>
      </c>
      <c r="C44" s="17"/>
      <c r="D44" s="5" t="s">
        <v>30</v>
      </c>
      <c r="E44" s="5" t="s">
        <v>31</v>
      </c>
      <c r="F44" s="5" t="s">
        <v>28</v>
      </c>
      <c r="G44" s="5">
        <v>61</v>
      </c>
      <c r="H44" s="5">
        <v>120</v>
      </c>
      <c r="I44" s="5">
        <v>182</v>
      </c>
      <c r="J44" s="5">
        <v>16</v>
      </c>
      <c r="K44" s="5">
        <v>106</v>
      </c>
      <c r="L44" s="5">
        <v>218</v>
      </c>
      <c r="M44" s="6" t="s">
        <v>38</v>
      </c>
      <c r="N44" s="7">
        <v>44</v>
      </c>
      <c r="O44" s="7">
        <v>65</v>
      </c>
      <c r="P44" s="5">
        <v>503.78655009986466</v>
      </c>
      <c r="Q44" s="5">
        <v>8.4600296020507812</v>
      </c>
      <c r="R44" s="5">
        <v>0.84600296020507815</v>
      </c>
      <c r="S44" s="5">
        <v>0.71246177169238134</v>
      </c>
      <c r="T44" s="5">
        <v>462.33358740071913</v>
      </c>
      <c r="U44" s="5">
        <v>7.1250782012939453</v>
      </c>
      <c r="V44" s="5">
        <v>0.71250782012939462</v>
      </c>
      <c r="W44" s="5">
        <v>4.244842529296875</v>
      </c>
      <c r="X44" s="5">
        <v>1.447509765625</v>
      </c>
      <c r="Y44" s="5">
        <v>5.760551244020462E-2</v>
      </c>
      <c r="Z44" s="5">
        <v>7.1250782012939453</v>
      </c>
    </row>
    <row r="45" spans="1:26" s="4" customFormat="1" ht="15" customHeight="1" x14ac:dyDescent="0.2">
      <c r="A45" s="18"/>
      <c r="B45" s="4" t="s">
        <v>25</v>
      </c>
      <c r="C45" s="17"/>
      <c r="D45" s="5" t="s">
        <v>33</v>
      </c>
      <c r="E45" s="5" t="s">
        <v>31</v>
      </c>
      <c r="F45" s="5" t="s">
        <v>28</v>
      </c>
      <c r="G45" s="5">
        <v>62</v>
      </c>
      <c r="H45" s="5">
        <v>126</v>
      </c>
      <c r="I45" s="5">
        <v>184</v>
      </c>
      <c r="J45" s="5">
        <v>22</v>
      </c>
      <c r="K45" s="5">
        <v>115</v>
      </c>
      <c r="L45" s="5">
        <v>226</v>
      </c>
      <c r="M45" s="6" t="s">
        <v>29</v>
      </c>
      <c r="N45" s="7">
        <v>45.9</v>
      </c>
      <c r="O45" s="7">
        <v>65</v>
      </c>
      <c r="P45" s="5">
        <v>463.78123689724345</v>
      </c>
      <c r="Q45" s="5">
        <v>7.1697678565979004</v>
      </c>
      <c r="R45" s="5">
        <v>0.71697678565979006</v>
      </c>
      <c r="S45" s="5">
        <v>0.65588571519425098</v>
      </c>
      <c r="T45" s="5">
        <v>463.78123689724345</v>
      </c>
      <c r="U45" s="5">
        <v>7.1697678565979004</v>
      </c>
      <c r="V45" s="5">
        <v>0.71697678565979006</v>
      </c>
      <c r="W45" s="5">
        <v>3.0611495971679688</v>
      </c>
      <c r="X45" s="5">
        <v>1.2415275573730469</v>
      </c>
      <c r="Y45" s="5">
        <v>2.2687604650855064E-2</v>
      </c>
      <c r="Z45" s="5">
        <v>7.1697678565979004</v>
      </c>
    </row>
    <row r="46" spans="1:26" s="4" customFormat="1" ht="15" customHeight="1" x14ac:dyDescent="0.2">
      <c r="A46" s="18" t="s">
        <v>51</v>
      </c>
      <c r="B46" s="4" t="str">
        <f t="shared" ref="B46:B70" si="26">C46</f>
        <v>L</v>
      </c>
      <c r="C46" s="17" t="s">
        <v>25</v>
      </c>
      <c r="D46" s="5" t="s">
        <v>26</v>
      </c>
      <c r="E46" s="5" t="s">
        <v>27</v>
      </c>
      <c r="F46" s="5" t="s">
        <v>28</v>
      </c>
      <c r="G46" s="5">
        <v>137</v>
      </c>
      <c r="H46" s="5">
        <v>126</v>
      </c>
      <c r="I46" s="5">
        <v>177</v>
      </c>
      <c r="J46" s="5">
        <v>176</v>
      </c>
      <c r="K46" s="5">
        <v>118</v>
      </c>
      <c r="L46" s="5">
        <v>212</v>
      </c>
      <c r="M46" s="6" t="s">
        <v>38</v>
      </c>
      <c r="N46" s="7">
        <v>40.299999999999997</v>
      </c>
      <c r="O46" s="7">
        <v>65</v>
      </c>
      <c r="P46" s="5">
        <v>594.61759123277443</v>
      </c>
      <c r="Q46" s="5">
        <v>11.785669326782227</v>
      </c>
      <c r="R46" s="5">
        <v>1.1785669326782227</v>
      </c>
      <c r="S46" s="5">
        <v>0.84091626194701075</v>
      </c>
      <c r="T46" s="5">
        <v>400.66487368300454</v>
      </c>
      <c r="U46" s="5">
        <v>5.3510780334472656</v>
      </c>
      <c r="V46" s="5">
        <v>0.53510780334472663</v>
      </c>
      <c r="W46" s="5">
        <v>3.4181671142578125</v>
      </c>
      <c r="X46" s="5">
        <v>0.71929550170898438</v>
      </c>
      <c r="Y46" s="5">
        <v>1.8889069557189941E-2</v>
      </c>
      <c r="Z46" s="5">
        <v>5.3510780334472656</v>
      </c>
    </row>
    <row r="47" spans="1:26" s="4" customFormat="1" ht="15" customHeight="1" x14ac:dyDescent="0.2">
      <c r="A47" s="18"/>
      <c r="B47" s="4" t="str">
        <f t="shared" ref="B47:B71" si="27">C46</f>
        <v>L</v>
      </c>
      <c r="C47" s="17"/>
      <c r="D47" s="5" t="s">
        <v>32</v>
      </c>
      <c r="E47" s="5" t="s">
        <v>27</v>
      </c>
      <c r="F47" s="5" t="s">
        <v>28</v>
      </c>
      <c r="G47" s="5">
        <v>137</v>
      </c>
      <c r="H47" s="5">
        <v>132</v>
      </c>
      <c r="I47" s="5">
        <v>175</v>
      </c>
      <c r="J47" s="5">
        <v>178</v>
      </c>
      <c r="K47" s="5">
        <v>126</v>
      </c>
      <c r="L47" s="5">
        <v>211</v>
      </c>
      <c r="M47" s="6" t="s">
        <v>38</v>
      </c>
      <c r="N47" s="7">
        <v>42.2</v>
      </c>
      <c r="O47" s="7">
        <v>65</v>
      </c>
      <c r="P47" s="5">
        <v>560.49730460533772</v>
      </c>
      <c r="Q47" s="5">
        <v>10.471907615661621</v>
      </c>
      <c r="R47" s="5">
        <v>1.0471907615661622</v>
      </c>
      <c r="S47" s="5">
        <v>0.79266288984643241</v>
      </c>
      <c r="T47" s="5">
        <v>480.90641092273802</v>
      </c>
      <c r="U47" s="5">
        <v>7.7090325355529785</v>
      </c>
      <c r="V47" s="5">
        <v>0.77090325355529787</v>
      </c>
      <c r="W47" s="5">
        <v>3.8199729919433594</v>
      </c>
      <c r="X47" s="5">
        <v>0.9777984619140625</v>
      </c>
      <c r="Y47" s="5">
        <v>3.6236044019460678E-2</v>
      </c>
      <c r="Z47" s="5">
        <v>7.7090325355529785</v>
      </c>
    </row>
    <row r="48" spans="1:26" s="4" customFormat="1" ht="15" customHeight="1" x14ac:dyDescent="0.2">
      <c r="A48" s="18"/>
      <c r="B48" s="4" t="s">
        <v>25</v>
      </c>
      <c r="C48" s="17"/>
      <c r="D48" s="5" t="s">
        <v>30</v>
      </c>
      <c r="E48" s="5" t="s">
        <v>31</v>
      </c>
      <c r="F48" s="5" t="s">
        <v>28</v>
      </c>
      <c r="G48" s="5">
        <v>58</v>
      </c>
      <c r="H48" s="5">
        <v>120</v>
      </c>
      <c r="I48" s="5">
        <v>179</v>
      </c>
      <c r="J48" s="5">
        <v>19</v>
      </c>
      <c r="K48" s="5">
        <v>110</v>
      </c>
      <c r="L48" s="5">
        <v>220</v>
      </c>
      <c r="M48" s="6" t="s">
        <v>38</v>
      </c>
      <c r="N48" s="7">
        <v>45.9</v>
      </c>
      <c r="O48" s="7">
        <v>65</v>
      </c>
      <c r="P48" s="5">
        <v>529.21726655709938</v>
      </c>
      <c r="Q48" s="5">
        <v>9.3356971740722656</v>
      </c>
      <c r="R48" s="5">
        <v>0.93356971740722661</v>
      </c>
      <c r="S48" s="5">
        <v>0.74842623580706735</v>
      </c>
      <c r="T48" s="5">
        <v>527.85944836575948</v>
      </c>
      <c r="U48" s="5">
        <v>9.2878532409667969</v>
      </c>
      <c r="V48" s="5">
        <v>0.92878532409667969</v>
      </c>
      <c r="W48" s="5">
        <v>3.8199729919433594</v>
      </c>
      <c r="X48" s="5">
        <v>1.5492286682128906</v>
      </c>
      <c r="Y48" s="5">
        <v>3.828556090593338E-2</v>
      </c>
      <c r="Z48" s="5">
        <v>9.2878532409667969</v>
      </c>
    </row>
    <row r="49" spans="1:26" s="4" customFormat="1" ht="15" customHeight="1" x14ac:dyDescent="0.2">
      <c r="A49" s="18"/>
      <c r="B49" s="4" t="s">
        <v>25</v>
      </c>
      <c r="C49" s="17"/>
      <c r="D49" s="5" t="s">
        <v>33</v>
      </c>
      <c r="E49" s="5" t="s">
        <v>31</v>
      </c>
      <c r="F49" s="5" t="s">
        <v>28</v>
      </c>
      <c r="G49" s="5">
        <v>58</v>
      </c>
      <c r="H49" s="5">
        <v>126</v>
      </c>
      <c r="I49" s="5">
        <v>178</v>
      </c>
      <c r="J49" s="5">
        <v>18</v>
      </c>
      <c r="K49" s="5">
        <v>121</v>
      </c>
      <c r="L49" s="5">
        <v>220</v>
      </c>
      <c r="M49" s="6" t="s">
        <v>38</v>
      </c>
      <c r="N49" s="7">
        <v>45.9</v>
      </c>
      <c r="O49" s="7">
        <v>65</v>
      </c>
      <c r="P49" s="5">
        <v>551.48255198348022</v>
      </c>
      <c r="Q49" s="5">
        <v>10.13776683807373</v>
      </c>
      <c r="R49" s="5">
        <v>1.0137766838073732</v>
      </c>
      <c r="S49" s="5">
        <v>0.77991410442716314</v>
      </c>
      <c r="T49" s="5">
        <v>512.95950224456624</v>
      </c>
      <c r="U49" s="5">
        <v>8.7709150314331055</v>
      </c>
      <c r="V49" s="5">
        <v>0.87709150314331064</v>
      </c>
      <c r="W49" s="5">
        <v>3.8199729919433594</v>
      </c>
      <c r="X49" s="5">
        <v>1.5492286682128906</v>
      </c>
      <c r="Y49" s="5">
        <v>3.9595797657966614E-2</v>
      </c>
      <c r="Z49" s="5">
        <v>8.7709150314331055</v>
      </c>
    </row>
    <row r="50" spans="1:26" s="4" customFormat="1" ht="15" customHeight="1" x14ac:dyDescent="0.2">
      <c r="A50" s="18" t="s">
        <v>53</v>
      </c>
      <c r="B50" s="4" t="str">
        <f t="shared" ref="B50" si="28">C50</f>
        <v>L</v>
      </c>
      <c r="C50" s="17" t="s">
        <v>25</v>
      </c>
      <c r="D50" s="5" t="s">
        <v>26</v>
      </c>
      <c r="E50" s="5" t="s">
        <v>27</v>
      </c>
      <c r="F50" s="5" t="s">
        <v>28</v>
      </c>
      <c r="G50" s="5">
        <v>140</v>
      </c>
      <c r="H50" s="5">
        <v>133</v>
      </c>
      <c r="I50" s="5">
        <v>187</v>
      </c>
      <c r="J50" s="5">
        <v>176</v>
      </c>
      <c r="K50" s="5">
        <v>118</v>
      </c>
      <c r="L50" s="5">
        <v>210</v>
      </c>
      <c r="M50" s="6" t="s">
        <v>38</v>
      </c>
      <c r="N50" s="7">
        <v>40.299999999999997</v>
      </c>
      <c r="O50" s="7">
        <v>65</v>
      </c>
      <c r="P50" s="5">
        <v>592.72953078227602</v>
      </c>
      <c r="Q50" s="5">
        <v>11.710943222045898</v>
      </c>
      <c r="R50" s="5">
        <v>1.17109432220459</v>
      </c>
      <c r="S50" s="5">
        <v>0.83824614125133567</v>
      </c>
      <c r="T50" s="5">
        <v>436.59400318376777</v>
      </c>
      <c r="U50" s="5">
        <v>6.3538107872009277</v>
      </c>
      <c r="V50" s="5">
        <v>0.63538107872009286</v>
      </c>
      <c r="W50" s="5">
        <v>3.132049560546875</v>
      </c>
      <c r="X50" s="5">
        <v>1.3047828674316406</v>
      </c>
      <c r="Y50" s="5">
        <v>1.4032620005309582E-2</v>
      </c>
      <c r="Z50" s="5">
        <v>6.3538107872009277</v>
      </c>
    </row>
    <row r="51" spans="1:26" s="4" customFormat="1" ht="15" customHeight="1" x14ac:dyDescent="0.2">
      <c r="A51" s="18"/>
      <c r="B51" s="4" t="str">
        <f t="shared" ref="B51" si="29">C50</f>
        <v>L</v>
      </c>
      <c r="C51" s="17"/>
      <c r="D51" s="5" t="s">
        <v>32</v>
      </c>
      <c r="E51" s="5" t="s">
        <v>27</v>
      </c>
      <c r="F51" s="5" t="s">
        <v>28</v>
      </c>
      <c r="G51" s="5">
        <v>141</v>
      </c>
      <c r="H51" s="5">
        <v>140</v>
      </c>
      <c r="I51" s="5">
        <v>187</v>
      </c>
      <c r="J51" s="5">
        <v>178</v>
      </c>
      <c r="K51" s="5">
        <v>125</v>
      </c>
      <c r="L51" s="5">
        <v>212</v>
      </c>
      <c r="M51" s="6" t="s">
        <v>38</v>
      </c>
      <c r="N51" s="7">
        <v>40.299999999999997</v>
      </c>
      <c r="O51" s="7">
        <v>65</v>
      </c>
      <c r="P51" s="5">
        <v>746.39575857447687</v>
      </c>
      <c r="Q51" s="5">
        <v>18.570220947265625</v>
      </c>
      <c r="R51" s="5">
        <v>1.8570220947265625</v>
      </c>
      <c r="S51" s="5">
        <v>1.0555630046737794</v>
      </c>
      <c r="T51" s="5">
        <v>447.31034101151994</v>
      </c>
      <c r="U51" s="5">
        <v>6.6695513725280762</v>
      </c>
      <c r="V51" s="5">
        <v>0.66695513725280764</v>
      </c>
      <c r="W51" s="5">
        <v>4.0508613586425781</v>
      </c>
      <c r="X51" s="5">
        <v>1.5947036743164062</v>
      </c>
      <c r="Y51" s="5">
        <v>4.6811886131763458E-2</v>
      </c>
      <c r="Z51" s="5">
        <v>6.6695513725280762</v>
      </c>
    </row>
    <row r="52" spans="1:26" s="4" customFormat="1" ht="15" customHeight="1" x14ac:dyDescent="0.2">
      <c r="A52" s="18"/>
      <c r="B52" s="4" t="s">
        <v>25</v>
      </c>
      <c r="C52" s="17"/>
      <c r="D52" s="5" t="s">
        <v>30</v>
      </c>
      <c r="E52" s="5" t="s">
        <v>31</v>
      </c>
      <c r="F52" s="5" t="s">
        <v>28</v>
      </c>
      <c r="G52" s="5">
        <v>57</v>
      </c>
      <c r="H52" s="5">
        <v>132</v>
      </c>
      <c r="I52" s="5">
        <v>186</v>
      </c>
      <c r="J52" s="5">
        <v>10</v>
      </c>
      <c r="K52" s="5">
        <v>118</v>
      </c>
      <c r="L52" s="5">
        <v>212</v>
      </c>
      <c r="M52" s="8" t="s">
        <v>29</v>
      </c>
      <c r="N52" s="7">
        <v>44</v>
      </c>
      <c r="O52" s="7">
        <v>65</v>
      </c>
      <c r="P52" s="5">
        <v>480.13091328660835</v>
      </c>
      <c r="Q52" s="5">
        <v>7.6841897964477539</v>
      </c>
      <c r="R52" s="5">
        <v>0.76841897964477546</v>
      </c>
      <c r="S52" s="5">
        <v>0.67900764928450197</v>
      </c>
      <c r="T52" s="5">
        <v>439.64660454346364</v>
      </c>
      <c r="U52" s="5">
        <v>6.4429712295532227</v>
      </c>
      <c r="V52" s="5">
        <v>0.64429712295532227</v>
      </c>
      <c r="W52" s="5">
        <v>3.0977020263671875</v>
      </c>
      <c r="X52" s="5">
        <v>2.4089241027832031</v>
      </c>
      <c r="Y52" s="5">
        <v>1.4162778854370117E-2</v>
      </c>
      <c r="Z52" s="5">
        <v>6.4429712295532227</v>
      </c>
    </row>
    <row r="53" spans="1:26" s="4" customFormat="1" ht="15" customHeight="1" x14ac:dyDescent="0.2">
      <c r="A53" s="18"/>
      <c r="B53" s="4" t="s">
        <v>25</v>
      </c>
      <c r="C53" s="17"/>
      <c r="D53" s="5" t="s">
        <v>33</v>
      </c>
      <c r="E53" s="5" t="s">
        <v>31</v>
      </c>
      <c r="F53" s="5" t="s">
        <v>28</v>
      </c>
      <c r="G53" s="5">
        <v>56</v>
      </c>
      <c r="H53" s="5">
        <v>138</v>
      </c>
      <c r="I53" s="5">
        <v>186</v>
      </c>
      <c r="J53" s="5">
        <v>10</v>
      </c>
      <c r="K53" s="5">
        <v>128</v>
      </c>
      <c r="L53" s="5">
        <v>217</v>
      </c>
      <c r="M53" s="8" t="s">
        <v>29</v>
      </c>
      <c r="N53" s="7">
        <v>44</v>
      </c>
      <c r="O53" s="7">
        <v>65</v>
      </c>
      <c r="P53" s="5">
        <v>457.03464604607649</v>
      </c>
      <c r="Q53" s="5">
        <v>6.9626889228820801</v>
      </c>
      <c r="R53" s="5">
        <v>0.6962688922882081</v>
      </c>
      <c r="S53" s="5">
        <v>0.64634459491274843</v>
      </c>
      <c r="T53" s="5">
        <v>364.90844545049407</v>
      </c>
      <c r="U53" s="5">
        <v>4.438605785369873</v>
      </c>
      <c r="V53" s="5">
        <v>0.44386057853698735</v>
      </c>
      <c r="W53" s="5">
        <v>3.4268074035644531</v>
      </c>
      <c r="X53" s="5">
        <v>2.8510551452636719</v>
      </c>
      <c r="Y53" s="5">
        <v>3.4339826554059982E-2</v>
      </c>
      <c r="Z53" s="5">
        <v>4.438605785369873</v>
      </c>
    </row>
    <row r="54" spans="1:26" s="4" customFormat="1" ht="15" hidden="1" customHeight="1" x14ac:dyDescent="0.2">
      <c r="A54" s="18" t="s">
        <v>53</v>
      </c>
      <c r="B54" s="4" t="str">
        <f t="shared" ref="B54:B78" si="30">C54</f>
        <v>V</v>
      </c>
      <c r="C54" s="17" t="s">
        <v>35</v>
      </c>
      <c r="D54" s="5" t="s">
        <v>40</v>
      </c>
      <c r="E54" s="5" t="s">
        <v>27</v>
      </c>
      <c r="F54" s="5" t="s">
        <v>41</v>
      </c>
      <c r="G54" s="5">
        <v>122</v>
      </c>
      <c r="H54" s="5">
        <v>148</v>
      </c>
      <c r="I54" s="5">
        <v>134</v>
      </c>
      <c r="J54" s="5">
        <v>117</v>
      </c>
      <c r="K54" s="5">
        <v>247</v>
      </c>
      <c r="L54" s="5">
        <v>197</v>
      </c>
      <c r="M54" s="6" t="s">
        <v>57</v>
      </c>
      <c r="N54" s="7">
        <v>113</v>
      </c>
      <c r="O54" s="7">
        <v>75</v>
      </c>
      <c r="P54" s="5">
        <v>847.11824984687519</v>
      </c>
      <c r="Q54" s="5">
        <v>23.920310974121094</v>
      </c>
      <c r="R54" s="5">
        <v>2.3920310974121093</v>
      </c>
      <c r="S54" s="5">
        <v>1.1980061178672108</v>
      </c>
      <c r="T54" s="5">
        <v>379.85065863480537</v>
      </c>
      <c r="U54" s="5">
        <v>4.8095507621765137</v>
      </c>
      <c r="V54" s="5">
        <v>0.48095507621765138</v>
      </c>
      <c r="W54" s="5">
        <v>5.3086318969726562</v>
      </c>
      <c r="X54" s="5">
        <v>1.324615478515625</v>
      </c>
      <c r="Y54" s="5">
        <v>0.1700977236032486</v>
      </c>
      <c r="Z54" s="5">
        <v>6.2260656356811523</v>
      </c>
    </row>
    <row r="55" spans="1:26" s="4" customFormat="1" ht="15" hidden="1" customHeight="1" x14ac:dyDescent="0.2">
      <c r="A55" s="18"/>
      <c r="B55" s="4" t="str">
        <f t="shared" ref="B55:B79" si="31">C54</f>
        <v>V</v>
      </c>
      <c r="C55" s="17"/>
      <c r="D55" s="5" t="s">
        <v>43</v>
      </c>
      <c r="E55" s="5" t="s">
        <v>31</v>
      </c>
      <c r="F55" s="5" t="s">
        <v>41</v>
      </c>
      <c r="G55" s="5">
        <v>71</v>
      </c>
      <c r="H55" s="5">
        <v>148</v>
      </c>
      <c r="I55" s="5">
        <v>132</v>
      </c>
      <c r="J55" s="5">
        <v>78</v>
      </c>
      <c r="K55" s="5">
        <v>243</v>
      </c>
      <c r="L55" s="5">
        <v>208</v>
      </c>
      <c r="M55" s="6" t="s">
        <v>58</v>
      </c>
      <c r="N55" s="7">
        <v>117</v>
      </c>
      <c r="O55" s="7">
        <v>75</v>
      </c>
      <c r="P55" s="5">
        <v>753.30817183388433</v>
      </c>
      <c r="Q55" s="5">
        <v>18.915773391723633</v>
      </c>
      <c r="R55" s="5">
        <v>1.8915773391723634</v>
      </c>
      <c r="S55" s="5">
        <v>1.0653386332539612</v>
      </c>
      <c r="T55" s="5">
        <v>331.93109415431314</v>
      </c>
      <c r="U55" s="5">
        <v>3.6726083755493164</v>
      </c>
      <c r="V55" s="5">
        <v>0.36726083755493166</v>
      </c>
      <c r="W55" s="5">
        <v>4.2782440185546875</v>
      </c>
      <c r="X55" s="5">
        <v>1.7354469299316406</v>
      </c>
      <c r="Y55" s="5">
        <v>3.3816833049058914E-2</v>
      </c>
      <c r="Z55" s="5">
        <v>4.1662631034851074</v>
      </c>
    </row>
    <row r="56" spans="1:26" s="4" customFormat="1" ht="15" hidden="1" customHeight="1" x14ac:dyDescent="0.2">
      <c r="A56" s="18" t="s">
        <v>55</v>
      </c>
      <c r="B56" s="4" t="str">
        <f t="shared" si="16"/>
        <v>V</v>
      </c>
      <c r="C56" s="17" t="s">
        <v>35</v>
      </c>
      <c r="D56" s="5" t="s">
        <v>36</v>
      </c>
      <c r="E56" s="5" t="s">
        <v>27</v>
      </c>
      <c r="F56" s="5" t="s">
        <v>41</v>
      </c>
      <c r="G56" s="5">
        <v>117</v>
      </c>
      <c r="H56" s="5">
        <v>136</v>
      </c>
      <c r="I56" s="5">
        <v>139</v>
      </c>
      <c r="J56" s="5">
        <v>105</v>
      </c>
      <c r="K56" s="5">
        <v>248</v>
      </c>
      <c r="L56" s="5">
        <v>180</v>
      </c>
      <c r="M56" s="6" t="s">
        <v>56</v>
      </c>
      <c r="N56" s="7">
        <v>114</v>
      </c>
      <c r="O56" s="7">
        <v>75</v>
      </c>
      <c r="P56" s="5">
        <v>632.30511704980165</v>
      </c>
      <c r="Q56" s="5">
        <v>13.326992034912109</v>
      </c>
      <c r="R56" s="5">
        <v>1.3326992034912111</v>
      </c>
      <c r="S56" s="5">
        <v>0.89421447208973681</v>
      </c>
      <c r="T56" s="5">
        <v>358.18328303269482</v>
      </c>
      <c r="U56" s="5">
        <v>4.2765088081359863</v>
      </c>
      <c r="V56" s="5">
        <v>0.42765088081359864</v>
      </c>
      <c r="W56" s="5">
        <v>4.9139289855957031</v>
      </c>
      <c r="X56" s="5">
        <v>1.3928413391113281</v>
      </c>
      <c r="Y56" s="5">
        <v>0.11843740195035934</v>
      </c>
      <c r="Z56" s="5">
        <v>4.5255365371704102</v>
      </c>
    </row>
    <row r="57" spans="1:26" s="4" customFormat="1" ht="15" hidden="1" customHeight="1" x14ac:dyDescent="0.2">
      <c r="A57" s="18"/>
      <c r="B57" s="4" t="str">
        <f t="shared" si="17"/>
        <v>V</v>
      </c>
      <c r="C57" s="17"/>
      <c r="D57" s="5" t="s">
        <v>36</v>
      </c>
      <c r="E57" s="5" t="s">
        <v>31</v>
      </c>
      <c r="F57" s="5" t="s">
        <v>41</v>
      </c>
      <c r="G57" s="5">
        <v>70</v>
      </c>
      <c r="H57" s="5">
        <v>135</v>
      </c>
      <c r="I57" s="5">
        <v>138</v>
      </c>
      <c r="J57" s="5">
        <v>83</v>
      </c>
      <c r="K57" s="5">
        <v>245</v>
      </c>
      <c r="L57" s="5">
        <v>193</v>
      </c>
      <c r="M57" s="6" t="s">
        <v>54</v>
      </c>
      <c r="N57" s="7">
        <v>118</v>
      </c>
      <c r="O57" s="7">
        <v>75</v>
      </c>
      <c r="P57" s="5">
        <v>713.48202941120007</v>
      </c>
      <c r="Q57" s="5">
        <v>16.96855354309082</v>
      </c>
      <c r="R57" s="5">
        <v>1.6968553543090821</v>
      </c>
      <c r="S57" s="5">
        <v>1.0090159625027986</v>
      </c>
      <c r="T57" s="5">
        <v>333.05117148648753</v>
      </c>
      <c r="U57" s="5">
        <v>3.6974360942840576</v>
      </c>
      <c r="V57" s="5">
        <v>0.36974360942840578</v>
      </c>
      <c r="W57" s="5">
        <v>5.4673728942871094</v>
      </c>
      <c r="X57" s="5">
        <v>1.4018096923828125</v>
      </c>
      <c r="Y57" s="5">
        <v>0.19141459465026855</v>
      </c>
      <c r="Z57" s="5">
        <v>4.0857057571411133</v>
      </c>
    </row>
    <row r="58" spans="1:26" s="4" customFormat="1" ht="15" customHeight="1" x14ac:dyDescent="0.2">
      <c r="A58" s="18" t="s">
        <v>55</v>
      </c>
      <c r="B58" s="4" t="str">
        <f t="shared" si="18"/>
        <v>L</v>
      </c>
      <c r="C58" s="17" t="s">
        <v>25</v>
      </c>
      <c r="D58" s="5" t="s">
        <v>26</v>
      </c>
      <c r="E58" s="5" t="s">
        <v>27</v>
      </c>
      <c r="F58" s="5" t="s">
        <v>28</v>
      </c>
      <c r="G58" s="5">
        <v>130</v>
      </c>
      <c r="H58" s="5">
        <v>118</v>
      </c>
      <c r="I58" s="5">
        <v>191</v>
      </c>
      <c r="J58" s="5">
        <v>167</v>
      </c>
      <c r="K58" s="5">
        <v>108</v>
      </c>
      <c r="L58" s="5">
        <v>218</v>
      </c>
      <c r="M58" s="6" t="s">
        <v>42</v>
      </c>
      <c r="N58" s="7">
        <v>40.299999999999997</v>
      </c>
      <c r="O58" s="7">
        <v>65</v>
      </c>
      <c r="P58" s="5">
        <v>627.31095129712946</v>
      </c>
      <c r="Q58" s="5">
        <v>13.117300987243652</v>
      </c>
      <c r="R58" s="5">
        <v>1.3117300987243654</v>
      </c>
      <c r="S58" s="5">
        <v>0.88715165514956851</v>
      </c>
      <c r="T58" s="5">
        <v>370.71524822321209</v>
      </c>
      <c r="U58" s="5">
        <v>4.5809931755065918</v>
      </c>
      <c r="V58" s="5">
        <v>0.45809931755065919</v>
      </c>
      <c r="W58" s="5">
        <v>3.4501571655273438</v>
      </c>
      <c r="X58" s="5">
        <v>1.8059158325195312</v>
      </c>
      <c r="Y58" s="5">
        <v>1.9975479692220688E-2</v>
      </c>
      <c r="Z58" s="5">
        <v>4.5809931755065918</v>
      </c>
    </row>
    <row r="59" spans="1:26" s="4" customFormat="1" ht="15" customHeight="1" x14ac:dyDescent="0.2">
      <c r="A59" s="18"/>
      <c r="B59" s="4" t="str">
        <f t="shared" si="19"/>
        <v>L</v>
      </c>
      <c r="C59" s="17"/>
      <c r="D59" s="5" t="s">
        <v>32</v>
      </c>
      <c r="E59" s="5" t="s">
        <v>27</v>
      </c>
      <c r="F59" s="5" t="s">
        <v>28</v>
      </c>
      <c r="G59" s="5">
        <v>130</v>
      </c>
      <c r="H59" s="5">
        <v>126</v>
      </c>
      <c r="I59" s="5">
        <v>191</v>
      </c>
      <c r="J59" s="5">
        <v>167</v>
      </c>
      <c r="K59" s="5">
        <v>116</v>
      </c>
      <c r="L59" s="5">
        <v>219</v>
      </c>
      <c r="M59" s="6" t="s">
        <v>42</v>
      </c>
      <c r="N59" s="7">
        <v>40.299999999999997</v>
      </c>
      <c r="O59" s="7">
        <v>65</v>
      </c>
      <c r="P59" s="5">
        <v>496.36215518421739</v>
      </c>
      <c r="Q59" s="5">
        <v>8.2125129699707031</v>
      </c>
      <c r="R59" s="5">
        <v>0.82125129699707033</v>
      </c>
      <c r="S59" s="5">
        <v>0.70196209171025903</v>
      </c>
      <c r="T59" s="5">
        <v>362.91958433628821</v>
      </c>
      <c r="U59" s="5">
        <v>4.3903541564941406</v>
      </c>
      <c r="V59" s="5">
        <v>0.43903541564941406</v>
      </c>
      <c r="W59" s="5">
        <v>3.4501571655273438</v>
      </c>
      <c r="X59" s="5">
        <v>1.8059158325195312</v>
      </c>
      <c r="Y59" s="5">
        <v>2.2890027612447739E-2</v>
      </c>
      <c r="Z59" s="5">
        <v>4.3903541564941406</v>
      </c>
    </row>
    <row r="60" spans="1:26" s="4" customFormat="1" ht="15" customHeight="1" x14ac:dyDescent="0.2">
      <c r="A60" s="18"/>
      <c r="B60" s="4" t="s">
        <v>25</v>
      </c>
      <c r="C60" s="17"/>
      <c r="D60" s="5" t="s">
        <v>30</v>
      </c>
      <c r="E60" s="5" t="s">
        <v>31</v>
      </c>
      <c r="F60" s="5" t="s">
        <v>28</v>
      </c>
      <c r="G60" s="5">
        <v>39</v>
      </c>
      <c r="H60" s="5">
        <v>113</v>
      </c>
      <c r="I60" s="5">
        <v>208</v>
      </c>
      <c r="J60" s="5">
        <v>22</v>
      </c>
      <c r="K60" s="5">
        <v>110</v>
      </c>
      <c r="L60" s="5">
        <v>222</v>
      </c>
      <c r="M60" s="6" t="s">
        <v>47</v>
      </c>
      <c r="N60" s="7">
        <v>40.299999999999997</v>
      </c>
      <c r="O60" s="7">
        <v>65</v>
      </c>
      <c r="P60" s="5">
        <v>645.51432042152464</v>
      </c>
      <c r="Q60" s="5">
        <v>13.88962459564209</v>
      </c>
      <c r="R60" s="5">
        <v>1.3889624595642092</v>
      </c>
      <c r="S60" s="5">
        <v>0.91289510664617191</v>
      </c>
      <c r="T60" s="5">
        <v>356.93207746984712</v>
      </c>
      <c r="U60" s="5">
        <v>4.2466835975646973</v>
      </c>
      <c r="V60" s="5">
        <v>0.42466835975646977</v>
      </c>
      <c r="W60" s="5">
        <v>3.6256752014160156</v>
      </c>
      <c r="X60" s="5">
        <v>2.2731132507324219</v>
      </c>
      <c r="Y60" s="5">
        <v>2.4358704686164856E-2</v>
      </c>
      <c r="Z60" s="5">
        <v>5.2608957290649414</v>
      </c>
    </row>
    <row r="61" spans="1:26" s="4" customFormat="1" ht="15" customHeight="1" x14ac:dyDescent="0.2">
      <c r="A61" s="18"/>
      <c r="B61" s="4" t="s">
        <v>25</v>
      </c>
      <c r="C61" s="17"/>
      <c r="D61" s="5" t="s">
        <v>33</v>
      </c>
      <c r="E61" s="5" t="s">
        <v>31</v>
      </c>
      <c r="F61" s="5" t="s">
        <v>28</v>
      </c>
      <c r="G61" s="5">
        <v>62</v>
      </c>
      <c r="H61" s="5">
        <v>124</v>
      </c>
      <c r="I61" s="5">
        <v>188</v>
      </c>
      <c r="J61" s="5">
        <v>21</v>
      </c>
      <c r="K61" s="5">
        <v>116</v>
      </c>
      <c r="L61" s="5">
        <v>222</v>
      </c>
      <c r="M61" s="6" t="s">
        <v>47</v>
      </c>
      <c r="N61" s="7">
        <v>43</v>
      </c>
      <c r="O61" s="7">
        <v>65</v>
      </c>
      <c r="P61" s="5">
        <v>531.68635679673423</v>
      </c>
      <c r="Q61" s="5">
        <v>9.4230127334594727</v>
      </c>
      <c r="R61" s="5">
        <v>0.94230127334594727</v>
      </c>
      <c r="S61" s="5">
        <v>0.7519180567106819</v>
      </c>
      <c r="T61" s="5">
        <v>393.8435397984108</v>
      </c>
      <c r="U61" s="5">
        <v>5.1704244613647461</v>
      </c>
      <c r="V61" s="5">
        <v>0.51704244613647465</v>
      </c>
      <c r="W61" s="5">
        <v>3.6256752014160156</v>
      </c>
      <c r="X61" s="5">
        <v>2.8667793273925781</v>
      </c>
      <c r="Y61" s="5">
        <v>2.9417615383863449E-2</v>
      </c>
      <c r="Z61" s="5">
        <v>5.1704244613647461</v>
      </c>
    </row>
    <row r="62" spans="1:26" s="4" customFormat="1" ht="15" customHeight="1" x14ac:dyDescent="0.2">
      <c r="A62" s="18" t="s">
        <v>59</v>
      </c>
      <c r="B62" s="4" t="str">
        <f t="shared" si="20"/>
        <v>L</v>
      </c>
      <c r="C62" s="17" t="s">
        <v>25</v>
      </c>
      <c r="D62" s="9" t="s">
        <v>26</v>
      </c>
      <c r="E62" s="9" t="s">
        <v>27</v>
      </c>
      <c r="F62" s="9" t="s">
        <v>28</v>
      </c>
      <c r="G62" s="9">
        <v>133</v>
      </c>
      <c r="H62" s="9">
        <v>121</v>
      </c>
      <c r="I62" s="9">
        <v>178</v>
      </c>
      <c r="J62" s="9">
        <v>176</v>
      </c>
      <c r="K62" s="9">
        <v>106</v>
      </c>
      <c r="L62" s="9">
        <v>206</v>
      </c>
      <c r="M62" s="10" t="s">
        <v>29</v>
      </c>
      <c r="N62" s="11">
        <v>40.299999999999997</v>
      </c>
      <c r="O62" s="11">
        <v>65</v>
      </c>
      <c r="P62" s="9">
        <v>679.18710109999995</v>
      </c>
      <c r="Q62" s="9">
        <v>15.376503939999999</v>
      </c>
      <c r="R62" s="9">
        <v>1.5376503939999999</v>
      </c>
      <c r="S62" s="9">
        <v>0.96051560999999996</v>
      </c>
      <c r="T62" s="9">
        <v>447.2568028</v>
      </c>
      <c r="U62" s="9">
        <v>6.6679549199999997</v>
      </c>
      <c r="V62" s="9">
        <v>0.66679549199999999</v>
      </c>
      <c r="W62" s="9">
        <v>4.8517150879999997</v>
      </c>
      <c r="X62" s="9">
        <v>0.94888305699999997</v>
      </c>
      <c r="Y62" s="9">
        <v>0.101828583</v>
      </c>
      <c r="Z62" s="9">
        <v>6.6679549199999997</v>
      </c>
    </row>
    <row r="63" spans="1:26" s="4" customFormat="1" ht="15" customHeight="1" x14ac:dyDescent="0.2">
      <c r="A63" s="18"/>
      <c r="B63" s="4" t="str">
        <f t="shared" si="21"/>
        <v>L</v>
      </c>
      <c r="C63" s="17"/>
      <c r="D63" s="9" t="s">
        <v>32</v>
      </c>
      <c r="E63" s="9" t="s">
        <v>27</v>
      </c>
      <c r="F63" s="9" t="s">
        <v>28</v>
      </c>
      <c r="G63" s="9">
        <v>134</v>
      </c>
      <c r="H63" s="9">
        <v>125</v>
      </c>
      <c r="I63" s="9">
        <v>177</v>
      </c>
      <c r="J63" s="9">
        <v>179</v>
      </c>
      <c r="K63" s="9">
        <v>109</v>
      </c>
      <c r="L63" s="9">
        <v>204</v>
      </c>
      <c r="M63" s="10" t="s">
        <v>38</v>
      </c>
      <c r="N63" s="11">
        <v>41.4</v>
      </c>
      <c r="O63" s="11">
        <v>65</v>
      </c>
      <c r="P63" s="9">
        <v>666.25220609999997</v>
      </c>
      <c r="Q63" s="9">
        <v>14.796400070000001</v>
      </c>
      <c r="R63" s="9">
        <v>1.479640007</v>
      </c>
      <c r="S63" s="9">
        <v>0.94222290600000003</v>
      </c>
      <c r="T63" s="9">
        <v>477.0918211</v>
      </c>
      <c r="U63" s="9">
        <v>7.58722019</v>
      </c>
      <c r="V63" s="9">
        <v>0.75872201900000003</v>
      </c>
      <c r="W63" s="9">
        <v>4.8517150879999997</v>
      </c>
      <c r="X63" s="9">
        <v>1.2893409730000001</v>
      </c>
      <c r="Y63" s="9">
        <v>0.126792669</v>
      </c>
      <c r="Z63" s="9">
        <v>7.58722019</v>
      </c>
    </row>
    <row r="64" spans="1:26" s="4" customFormat="1" ht="15" customHeight="1" x14ac:dyDescent="0.2">
      <c r="A64" s="18"/>
      <c r="B64" s="4" t="s">
        <v>25</v>
      </c>
      <c r="C64" s="17"/>
      <c r="D64" s="9" t="s">
        <v>30</v>
      </c>
      <c r="E64" s="9" t="s">
        <v>31</v>
      </c>
      <c r="F64" s="9" t="s">
        <v>28</v>
      </c>
      <c r="G64" s="9">
        <v>57</v>
      </c>
      <c r="H64" s="9">
        <v>120</v>
      </c>
      <c r="I64" s="9">
        <v>177</v>
      </c>
      <c r="J64" s="9">
        <v>21</v>
      </c>
      <c r="K64" s="9">
        <v>102</v>
      </c>
      <c r="L64" s="9">
        <v>217</v>
      </c>
      <c r="M64" s="10" t="s">
        <v>38</v>
      </c>
      <c r="N64" s="11">
        <v>44.9</v>
      </c>
      <c r="O64" s="11">
        <v>65</v>
      </c>
      <c r="P64" s="9">
        <v>477.29769169999997</v>
      </c>
      <c r="Q64" s="9">
        <v>7.5937695500000002</v>
      </c>
      <c r="R64" s="9">
        <v>0.75937695500000002</v>
      </c>
      <c r="S64" s="9">
        <v>0.675000869</v>
      </c>
      <c r="T64" s="9">
        <v>460.34482450000002</v>
      </c>
      <c r="U64" s="9">
        <v>7.0639119099999998</v>
      </c>
      <c r="V64" s="9">
        <v>0.70639119100000003</v>
      </c>
      <c r="W64" s="9">
        <v>4.8517150879999997</v>
      </c>
      <c r="X64" s="9">
        <v>1.4222450259999999</v>
      </c>
      <c r="Y64" s="9">
        <v>0.129077688</v>
      </c>
      <c r="Z64" s="9">
        <v>7.0639119099999998</v>
      </c>
    </row>
    <row r="65" spans="1:26" s="4" customFormat="1" ht="15" customHeight="1" x14ac:dyDescent="0.2">
      <c r="A65" s="18"/>
      <c r="B65" s="4" t="s">
        <v>25</v>
      </c>
      <c r="C65" s="17"/>
      <c r="D65" s="9" t="s">
        <v>33</v>
      </c>
      <c r="E65" s="9" t="s">
        <v>31</v>
      </c>
      <c r="F65" s="9" t="s">
        <v>28</v>
      </c>
      <c r="G65" s="9">
        <v>57</v>
      </c>
      <c r="H65" s="9">
        <v>125</v>
      </c>
      <c r="I65" s="9">
        <v>177</v>
      </c>
      <c r="J65" s="9">
        <v>22</v>
      </c>
      <c r="K65" s="9">
        <v>109</v>
      </c>
      <c r="L65" s="9">
        <v>222</v>
      </c>
      <c r="M65" s="10" t="s">
        <v>38</v>
      </c>
      <c r="N65" s="11">
        <v>45.9</v>
      </c>
      <c r="O65" s="11">
        <v>65</v>
      </c>
      <c r="P65" s="9">
        <v>468.9129203</v>
      </c>
      <c r="Q65" s="9">
        <v>7.3293108939999998</v>
      </c>
      <c r="R65" s="9">
        <v>0.73293108900000004</v>
      </c>
      <c r="S65" s="9">
        <v>0.66314301099999995</v>
      </c>
      <c r="T65" s="9">
        <v>443.39377380000002</v>
      </c>
      <c r="U65" s="9">
        <v>6.5532679600000003</v>
      </c>
      <c r="V65" s="9">
        <v>0.65532679599999999</v>
      </c>
      <c r="W65" s="9">
        <v>4.8517112730000003</v>
      </c>
      <c r="X65" s="9">
        <v>1.5320205689999999</v>
      </c>
      <c r="Y65" s="9">
        <v>0.13044840099999999</v>
      </c>
      <c r="Z65" s="9">
        <v>6.5532679600000003</v>
      </c>
    </row>
    <row r="66" spans="1:26" s="4" customFormat="1" ht="15" customHeight="1" x14ac:dyDescent="0.2">
      <c r="A66" s="18" t="s">
        <v>60</v>
      </c>
      <c r="B66" s="4" t="str">
        <f t="shared" si="24"/>
        <v>L</v>
      </c>
      <c r="C66" s="17" t="s">
        <v>25</v>
      </c>
      <c r="D66" s="5" t="s">
        <v>26</v>
      </c>
      <c r="E66" s="5" t="s">
        <v>27</v>
      </c>
      <c r="F66" s="5" t="s">
        <v>28</v>
      </c>
      <c r="G66" s="5">
        <v>137</v>
      </c>
      <c r="H66" s="5">
        <v>120</v>
      </c>
      <c r="I66" s="5">
        <v>176</v>
      </c>
      <c r="J66" s="5">
        <v>183</v>
      </c>
      <c r="K66" s="5">
        <v>107</v>
      </c>
      <c r="L66" s="5">
        <v>193</v>
      </c>
      <c r="M66" s="6" t="s">
        <v>29</v>
      </c>
      <c r="N66" s="7">
        <v>40.299999999999997</v>
      </c>
      <c r="O66" s="7">
        <v>65</v>
      </c>
      <c r="P66" s="5">
        <v>599.77806278165622</v>
      </c>
      <c r="Q66" s="5">
        <v>11.991124153137207</v>
      </c>
      <c r="R66" s="5">
        <v>1.1991124153137207</v>
      </c>
      <c r="S66" s="5">
        <v>0.84821427079967981</v>
      </c>
      <c r="T66" s="5">
        <v>538.43147827961195</v>
      </c>
      <c r="U66" s="5">
        <v>9.6636152267456055</v>
      </c>
      <c r="V66" s="5">
        <v>0.96636152267456055</v>
      </c>
      <c r="W66" s="5">
        <v>4.0255928039550781</v>
      </c>
      <c r="X66" s="5">
        <v>2.2762641906738281</v>
      </c>
      <c r="Y66" s="5">
        <v>3.7595715373754501E-2</v>
      </c>
      <c r="Z66" s="5">
        <v>9.6636152267456055</v>
      </c>
    </row>
    <row r="67" spans="1:26" s="4" customFormat="1" ht="15" customHeight="1" x14ac:dyDescent="0.2">
      <c r="A67" s="18"/>
      <c r="B67" s="4" t="str">
        <f t="shared" si="25"/>
        <v>L</v>
      </c>
      <c r="C67" s="17"/>
      <c r="D67" s="5" t="s">
        <v>32</v>
      </c>
      <c r="E67" s="5" t="s">
        <v>27</v>
      </c>
      <c r="F67" s="5" t="s">
        <v>28</v>
      </c>
      <c r="G67" s="5">
        <v>137</v>
      </c>
      <c r="H67" s="5">
        <v>127</v>
      </c>
      <c r="I67" s="5">
        <v>177</v>
      </c>
      <c r="J67" s="5">
        <v>184</v>
      </c>
      <c r="K67" s="5">
        <v>116</v>
      </c>
      <c r="L67" s="5">
        <v>196</v>
      </c>
      <c r="M67" s="6" t="s">
        <v>29</v>
      </c>
      <c r="N67" s="7">
        <v>41.4</v>
      </c>
      <c r="O67" s="7">
        <v>65</v>
      </c>
      <c r="P67" s="5">
        <v>549.21777760404677</v>
      </c>
      <c r="Q67" s="5">
        <v>10.054672241210938</v>
      </c>
      <c r="R67" s="5">
        <v>1.0054672241210938</v>
      </c>
      <c r="S67" s="5">
        <v>0.77671122978405327</v>
      </c>
      <c r="T67" s="5">
        <v>517.32366791934658</v>
      </c>
      <c r="U67" s="5">
        <v>8.9207925796508789</v>
      </c>
      <c r="V67" s="5">
        <v>0.89207925796508791</v>
      </c>
      <c r="W67" s="5">
        <v>4.0255966186523438</v>
      </c>
      <c r="X67" s="5">
        <v>2.2762718200683594</v>
      </c>
      <c r="Y67" s="5">
        <v>4.7413509339094162E-2</v>
      </c>
      <c r="Z67" s="5">
        <v>8.9207925796508789</v>
      </c>
    </row>
    <row r="68" spans="1:26" s="4" customFormat="1" ht="15" customHeight="1" x14ac:dyDescent="0.2">
      <c r="A68" s="18"/>
      <c r="B68" s="4" t="s">
        <v>25</v>
      </c>
      <c r="C68" s="17"/>
      <c r="D68" s="5" t="s">
        <v>30</v>
      </c>
      <c r="E68" s="5" t="s">
        <v>31</v>
      </c>
      <c r="F68" s="5" t="s">
        <v>28</v>
      </c>
      <c r="G68" s="5">
        <v>63</v>
      </c>
      <c r="H68" s="5">
        <v>120</v>
      </c>
      <c r="I68" s="5">
        <v>181</v>
      </c>
      <c r="J68" s="5">
        <v>20</v>
      </c>
      <c r="K68" s="5">
        <v>107</v>
      </c>
      <c r="L68" s="5">
        <v>214</v>
      </c>
      <c r="M68" s="6" t="s">
        <v>29</v>
      </c>
      <c r="N68" s="7">
        <v>44.9</v>
      </c>
      <c r="O68" s="7">
        <v>65</v>
      </c>
      <c r="P68" s="5">
        <v>513.03473697417712</v>
      </c>
      <c r="Q68" s="5">
        <v>8.7734880447387695</v>
      </c>
      <c r="R68" s="5">
        <v>0.87734880447387698</v>
      </c>
      <c r="S68" s="5">
        <v>0.72554068299739483</v>
      </c>
      <c r="T68" s="5">
        <v>499.50306993978774</v>
      </c>
      <c r="U68" s="5">
        <v>8.316777229309082</v>
      </c>
      <c r="V68" s="5">
        <v>0.83167772293090825</v>
      </c>
      <c r="W68" s="5">
        <v>4.0255928039550781</v>
      </c>
      <c r="X68" s="5">
        <v>2.3266448974609375</v>
      </c>
      <c r="Y68" s="5">
        <v>4.9305982887744904E-2</v>
      </c>
      <c r="Z68" s="5">
        <v>8.316777229309082</v>
      </c>
    </row>
    <row r="69" spans="1:26" s="4" customFormat="1" ht="15" customHeight="1" x14ac:dyDescent="0.2">
      <c r="A69" s="18"/>
      <c r="B69" s="4" t="s">
        <v>25</v>
      </c>
      <c r="C69" s="17"/>
      <c r="D69" s="5" t="s">
        <v>33</v>
      </c>
      <c r="E69" s="5" t="s">
        <v>31</v>
      </c>
      <c r="F69" s="5" t="s">
        <v>28</v>
      </c>
      <c r="G69" s="5">
        <v>64</v>
      </c>
      <c r="H69" s="5">
        <v>125</v>
      </c>
      <c r="I69" s="5">
        <v>181</v>
      </c>
      <c r="J69" s="5">
        <v>16</v>
      </c>
      <c r="K69" s="5">
        <v>114</v>
      </c>
      <c r="L69" s="5">
        <v>210</v>
      </c>
      <c r="M69" s="6" t="s">
        <v>38</v>
      </c>
      <c r="N69" s="7">
        <v>45.9</v>
      </c>
      <c r="O69" s="7">
        <v>65</v>
      </c>
      <c r="P69" s="5">
        <v>485.03044819376942</v>
      </c>
      <c r="Q69" s="5">
        <v>7.8418178558349609</v>
      </c>
      <c r="R69" s="5">
        <v>0.78418178558349616</v>
      </c>
      <c r="S69" s="5">
        <v>0.68593663799952953</v>
      </c>
      <c r="T69" s="5">
        <v>466.28813661769567</v>
      </c>
      <c r="U69" s="5">
        <v>7.2474875450134277</v>
      </c>
      <c r="V69" s="5">
        <v>0.7247487545013428</v>
      </c>
      <c r="W69" s="5">
        <v>4.0135078430175781</v>
      </c>
      <c r="X69" s="5">
        <v>2.6542549133300781</v>
      </c>
      <c r="Y69" s="5">
        <v>5.3106393665075302E-2</v>
      </c>
      <c r="Z69" s="5">
        <v>7.2474875450134277</v>
      </c>
    </row>
    <row r="70" spans="1:26" s="4" customFormat="1" ht="15" hidden="1" customHeight="1" x14ac:dyDescent="0.2">
      <c r="A70" s="18" t="s">
        <v>59</v>
      </c>
      <c r="B70" s="4" t="str">
        <f t="shared" si="26"/>
        <v>V</v>
      </c>
      <c r="C70" s="17" t="s">
        <v>35</v>
      </c>
      <c r="D70" s="5" t="s">
        <v>36</v>
      </c>
      <c r="E70" s="5" t="s">
        <v>27</v>
      </c>
      <c r="F70" s="5" t="s">
        <v>41</v>
      </c>
      <c r="G70" s="5">
        <v>118</v>
      </c>
      <c r="H70" s="5">
        <v>141</v>
      </c>
      <c r="I70" s="5">
        <v>123</v>
      </c>
      <c r="J70" s="5">
        <v>108</v>
      </c>
      <c r="K70" s="5">
        <v>249</v>
      </c>
      <c r="L70" s="5">
        <v>196</v>
      </c>
      <c r="M70" s="6" t="s">
        <v>42</v>
      </c>
      <c r="N70" s="7">
        <v>120</v>
      </c>
      <c r="O70" s="7">
        <v>75</v>
      </c>
      <c r="P70" s="5">
        <v>763.02164713498269</v>
      </c>
      <c r="Q70" s="5">
        <v>19.406734466552734</v>
      </c>
      <c r="R70" s="5">
        <v>1.9406734466552735</v>
      </c>
      <c r="S70" s="5">
        <v>1.0790755617625505</v>
      </c>
      <c r="T70" s="5">
        <v>352.81472542451991</v>
      </c>
      <c r="U70" s="5">
        <v>4.1492743492126465</v>
      </c>
      <c r="V70" s="5">
        <v>0.41492743492126466</v>
      </c>
      <c r="W70" s="5">
        <v>5.1289558410644531</v>
      </c>
      <c r="X70" s="5">
        <v>1.4549293518066406</v>
      </c>
      <c r="Y70" s="5">
        <v>0.13869661092758179</v>
      </c>
      <c r="Z70" s="5">
        <v>4.8647160530090332</v>
      </c>
    </row>
    <row r="71" spans="1:26" s="4" customFormat="1" ht="15" hidden="1" customHeight="1" x14ac:dyDescent="0.2">
      <c r="A71" s="18"/>
      <c r="B71" s="4" t="str">
        <f t="shared" si="27"/>
        <v>V</v>
      </c>
      <c r="C71" s="17"/>
      <c r="D71" s="5" t="s">
        <v>36</v>
      </c>
      <c r="E71" s="5" t="s">
        <v>31</v>
      </c>
      <c r="F71" s="5" t="s">
        <v>41</v>
      </c>
      <c r="G71" s="5">
        <v>72</v>
      </c>
      <c r="H71" s="5">
        <v>139</v>
      </c>
      <c r="I71" s="5">
        <v>121</v>
      </c>
      <c r="J71" s="5">
        <v>71</v>
      </c>
      <c r="K71" s="5">
        <v>242</v>
      </c>
      <c r="L71" s="5">
        <v>201</v>
      </c>
      <c r="M71" s="6" t="s">
        <v>62</v>
      </c>
      <c r="N71" s="7">
        <v>119</v>
      </c>
      <c r="O71" s="7">
        <v>75</v>
      </c>
      <c r="P71" s="5">
        <v>759.62791469680815</v>
      </c>
      <c r="Q71" s="5">
        <v>19.234485626220703</v>
      </c>
      <c r="R71" s="5">
        <v>1.9234485626220703</v>
      </c>
      <c r="S71" s="5">
        <v>1.0742760993214187</v>
      </c>
      <c r="T71" s="5">
        <v>343.58032200323504</v>
      </c>
      <c r="U71" s="5">
        <v>3.9349145889282227</v>
      </c>
      <c r="V71" s="5">
        <v>0.39349145889282228</v>
      </c>
      <c r="W71" s="5">
        <v>5.164031982421875</v>
      </c>
      <c r="X71" s="5">
        <v>2.3113365173339844</v>
      </c>
      <c r="Y71" s="5">
        <v>0.15032866597175598</v>
      </c>
      <c r="Z71" s="5">
        <v>4.3313698768615723</v>
      </c>
    </row>
    <row r="72" spans="1:26" s="4" customFormat="1" ht="15" customHeight="1" x14ac:dyDescent="0.2">
      <c r="A72" s="18" t="s">
        <v>61</v>
      </c>
      <c r="B72" s="4" t="str">
        <f t="shared" ref="B72:B96" si="32">C72</f>
        <v>L</v>
      </c>
      <c r="C72" s="17" t="s">
        <v>25</v>
      </c>
      <c r="D72" s="5" t="s">
        <v>26</v>
      </c>
      <c r="E72" s="5" t="s">
        <v>27</v>
      </c>
      <c r="F72" s="5" t="s">
        <v>28</v>
      </c>
      <c r="G72" s="5">
        <v>132</v>
      </c>
      <c r="H72" s="5">
        <v>121</v>
      </c>
      <c r="I72" s="5">
        <v>189</v>
      </c>
      <c r="J72" s="5">
        <v>169</v>
      </c>
      <c r="K72" s="5">
        <v>105</v>
      </c>
      <c r="L72" s="5">
        <v>216</v>
      </c>
      <c r="M72" s="6" t="s">
        <v>29</v>
      </c>
      <c r="N72" s="7">
        <v>40.299999999999997</v>
      </c>
      <c r="O72" s="7">
        <v>65</v>
      </c>
      <c r="P72" s="5">
        <v>584.0235341699472</v>
      </c>
      <c r="Q72" s="5">
        <v>11.369449615478516</v>
      </c>
      <c r="R72" s="5">
        <v>1.1369449615478515</v>
      </c>
      <c r="S72" s="5">
        <v>0.82593400276820594</v>
      </c>
      <c r="T72" s="5">
        <v>490.43362523620783</v>
      </c>
      <c r="U72" s="5">
        <v>8.0175046920776367</v>
      </c>
      <c r="V72" s="5">
        <v>0.80175046920776372</v>
      </c>
      <c r="W72" s="5">
        <v>3.3989067077636719</v>
      </c>
      <c r="X72" s="5">
        <v>0.91547775268554688</v>
      </c>
      <c r="Y72" s="5">
        <v>1.8882425501942635E-2</v>
      </c>
      <c r="Z72" s="5">
        <v>8.0175046920776367</v>
      </c>
    </row>
    <row r="73" spans="1:26" s="4" customFormat="1" ht="15" customHeight="1" x14ac:dyDescent="0.2">
      <c r="A73" s="18"/>
      <c r="B73" s="4" t="str">
        <f t="shared" ref="B73:B97" si="33">C72</f>
        <v>L</v>
      </c>
      <c r="C73" s="17"/>
      <c r="D73" s="5" t="s">
        <v>32</v>
      </c>
      <c r="E73" s="5" t="s">
        <v>27</v>
      </c>
      <c r="F73" s="5" t="s">
        <v>28</v>
      </c>
      <c r="G73" s="5">
        <v>132</v>
      </c>
      <c r="H73" s="5">
        <v>126</v>
      </c>
      <c r="I73" s="5">
        <v>190</v>
      </c>
      <c r="J73" s="5">
        <v>170</v>
      </c>
      <c r="K73" s="5">
        <v>113</v>
      </c>
      <c r="L73" s="5">
        <v>222</v>
      </c>
      <c r="M73" s="6" t="s">
        <v>44</v>
      </c>
      <c r="N73" s="7">
        <v>41.2</v>
      </c>
      <c r="O73" s="7">
        <v>65</v>
      </c>
      <c r="P73" s="5">
        <v>531.49115081913442</v>
      </c>
      <c r="Q73" s="5">
        <v>9.4160947799682617</v>
      </c>
      <c r="R73" s="5">
        <v>0.94160947799682626</v>
      </c>
      <c r="S73" s="5">
        <v>0.75164199376970398</v>
      </c>
      <c r="T73" s="5">
        <v>487.81135593160406</v>
      </c>
      <c r="U73" s="5">
        <v>7.9319972991943359</v>
      </c>
      <c r="V73" s="5">
        <v>0.79319972991943366</v>
      </c>
      <c r="W73" s="5">
        <v>4.5019645690917969</v>
      </c>
      <c r="X73" s="5">
        <v>1.5841522216796875</v>
      </c>
      <c r="Y73" s="5">
        <v>7.6405800879001617E-2</v>
      </c>
      <c r="Z73" s="5">
        <v>7.9319972991943359</v>
      </c>
    </row>
    <row r="74" spans="1:26" s="4" customFormat="1" ht="15" customHeight="1" x14ac:dyDescent="0.2">
      <c r="A74" s="18"/>
      <c r="B74" s="4" t="s">
        <v>25</v>
      </c>
      <c r="C74" s="17"/>
      <c r="D74" s="5" t="s">
        <v>30</v>
      </c>
      <c r="E74" s="5" t="s">
        <v>31</v>
      </c>
      <c r="F74" s="5" t="s">
        <v>28</v>
      </c>
      <c r="G74" s="5">
        <v>60</v>
      </c>
      <c r="H74" s="5">
        <v>117</v>
      </c>
      <c r="I74" s="5">
        <v>189</v>
      </c>
      <c r="J74" s="5">
        <v>17</v>
      </c>
      <c r="K74" s="5">
        <v>99</v>
      </c>
      <c r="L74" s="5">
        <v>219</v>
      </c>
      <c r="M74" s="6" t="s">
        <v>44</v>
      </c>
      <c r="N74" s="7">
        <v>45.4</v>
      </c>
      <c r="O74" s="7">
        <v>65</v>
      </c>
      <c r="P74" s="5">
        <v>513.50279603547915</v>
      </c>
      <c r="Q74" s="5">
        <v>8.7895040512084961</v>
      </c>
      <c r="R74" s="5">
        <v>0.87895040512084965</v>
      </c>
      <c r="S74" s="5">
        <v>0.72620261846987977</v>
      </c>
      <c r="T74" s="5">
        <v>513.50279603547915</v>
      </c>
      <c r="U74" s="5">
        <v>8.7895040512084961</v>
      </c>
      <c r="V74" s="5">
        <v>0.87895040512084965</v>
      </c>
      <c r="W74" s="5">
        <v>4.5019645690917969</v>
      </c>
      <c r="X74" s="5">
        <v>1.5841560363769531</v>
      </c>
      <c r="Y74" s="5">
        <v>7.8803069889545441E-2</v>
      </c>
      <c r="Z74" s="5">
        <v>8.7895040512084961</v>
      </c>
    </row>
    <row r="75" spans="1:26" s="4" customFormat="1" ht="15" customHeight="1" x14ac:dyDescent="0.2">
      <c r="A75" s="18"/>
      <c r="B75" s="4" t="s">
        <v>25</v>
      </c>
      <c r="C75" s="17"/>
      <c r="D75" s="5" t="s">
        <v>33</v>
      </c>
      <c r="E75" s="5" t="s">
        <v>31</v>
      </c>
      <c r="F75" s="5" t="s">
        <v>28</v>
      </c>
      <c r="G75" s="5">
        <v>59</v>
      </c>
      <c r="H75" s="5">
        <v>122</v>
      </c>
      <c r="I75" s="5">
        <v>189</v>
      </c>
      <c r="J75" s="5">
        <v>15</v>
      </c>
      <c r="K75" s="5">
        <v>103</v>
      </c>
      <c r="L75" s="5">
        <v>219</v>
      </c>
      <c r="M75" s="6" t="s">
        <v>44</v>
      </c>
      <c r="N75" s="7">
        <v>45.7</v>
      </c>
      <c r="O75" s="7">
        <v>65</v>
      </c>
      <c r="P75" s="5">
        <v>511.00334653113151</v>
      </c>
      <c r="Q75" s="5">
        <v>8.7041473388671875</v>
      </c>
      <c r="R75" s="5">
        <v>0.87041473388671875</v>
      </c>
      <c r="S75" s="5">
        <v>0.72266786308236464</v>
      </c>
      <c r="T75" s="5">
        <v>511.00334653113151</v>
      </c>
      <c r="U75" s="5">
        <v>8.7041473388671875</v>
      </c>
      <c r="V75" s="5">
        <v>0.87041473388671875</v>
      </c>
      <c r="W75" s="5">
        <v>4.5019645690917969</v>
      </c>
      <c r="X75" s="5">
        <v>1.5841636657714844</v>
      </c>
      <c r="Y75" s="5">
        <v>8.017323911190033E-2</v>
      </c>
      <c r="Z75" s="5">
        <v>8.7041473388671875</v>
      </c>
    </row>
    <row r="76" spans="1:26" s="4" customFormat="1" ht="15" hidden="1" customHeight="1" x14ac:dyDescent="0.2">
      <c r="A76" s="18" t="s">
        <v>63</v>
      </c>
      <c r="B76" s="4" t="str">
        <f t="shared" ref="B76" si="34">C76</f>
        <v>V</v>
      </c>
      <c r="C76" s="17" t="s">
        <v>35</v>
      </c>
      <c r="D76" s="12" t="s">
        <v>40</v>
      </c>
      <c r="E76" s="12" t="s">
        <v>27</v>
      </c>
      <c r="F76" s="12" t="s">
        <v>41</v>
      </c>
      <c r="G76" s="12">
        <v>119</v>
      </c>
      <c r="H76" s="12">
        <v>133</v>
      </c>
      <c r="I76" s="12">
        <v>142</v>
      </c>
      <c r="J76" s="12">
        <v>119</v>
      </c>
      <c r="K76" s="12">
        <v>243</v>
      </c>
      <c r="L76" s="12">
        <v>166</v>
      </c>
      <c r="M76" s="8" t="s">
        <v>54</v>
      </c>
      <c r="N76" s="13">
        <v>112</v>
      </c>
      <c r="O76" s="13">
        <v>75</v>
      </c>
      <c r="P76" s="12">
        <v>679.08696450000002</v>
      </c>
      <c r="Q76" s="12">
        <v>15.37197018</v>
      </c>
      <c r="R76" s="12">
        <v>1.5371970180000001</v>
      </c>
      <c r="S76" s="12">
        <v>0.96037399499999998</v>
      </c>
      <c r="T76" s="12">
        <v>319.83755489999999</v>
      </c>
      <c r="U76" s="12">
        <v>3.4098687170000002</v>
      </c>
      <c r="V76" s="12">
        <v>0.340986872</v>
      </c>
      <c r="W76" s="12">
        <v>4.4923248290000002</v>
      </c>
      <c r="X76" s="12">
        <v>1.179256439</v>
      </c>
      <c r="Y76" s="12">
        <v>6.6099255999999995E-2</v>
      </c>
      <c r="Z76" s="12">
        <v>4.1429872510000001</v>
      </c>
    </row>
    <row r="77" spans="1:26" s="4" customFormat="1" ht="15" hidden="1" customHeight="1" x14ac:dyDescent="0.2">
      <c r="A77" s="18"/>
      <c r="B77" s="4" t="str">
        <f t="shared" ref="B77" si="35">C76</f>
        <v>V</v>
      </c>
      <c r="C77" s="17"/>
      <c r="D77" s="5" t="s">
        <v>43</v>
      </c>
      <c r="E77" s="5" t="s">
        <v>31</v>
      </c>
      <c r="F77" s="5" t="s">
        <v>41</v>
      </c>
      <c r="G77" s="5">
        <v>70</v>
      </c>
      <c r="H77" s="5">
        <v>126</v>
      </c>
      <c r="I77" s="5">
        <v>144</v>
      </c>
      <c r="J77" s="5">
        <v>89</v>
      </c>
      <c r="K77" s="5">
        <v>239</v>
      </c>
      <c r="L77" s="5">
        <v>196</v>
      </c>
      <c r="M77" s="6" t="s">
        <v>58</v>
      </c>
      <c r="N77" s="11">
        <v>122</v>
      </c>
      <c r="O77" s="11">
        <v>75</v>
      </c>
      <c r="P77" s="5">
        <v>858.31697565682782</v>
      </c>
      <c r="Q77" s="5">
        <v>24.556934356689453</v>
      </c>
      <c r="R77" s="5">
        <v>2.4556934356689455</v>
      </c>
      <c r="S77" s="5">
        <v>1.2138435077889436</v>
      </c>
      <c r="T77" s="5">
        <v>328.33783467752403</v>
      </c>
      <c r="U77" s="5">
        <v>3.5935244560241699</v>
      </c>
      <c r="V77" s="5">
        <v>0.35935244560241703</v>
      </c>
      <c r="W77" s="5">
        <v>5.3336524963378906</v>
      </c>
      <c r="X77" s="5">
        <v>1.3728218078613281</v>
      </c>
      <c r="Y77" s="5">
        <v>0.17648813128471375</v>
      </c>
      <c r="Z77" s="5">
        <v>4.5516576766967773</v>
      </c>
    </row>
    <row r="78" spans="1:26" s="4" customFormat="1" ht="15" hidden="1" customHeight="1" x14ac:dyDescent="0.2">
      <c r="A78" s="18" t="s">
        <v>61</v>
      </c>
      <c r="B78" s="4" t="str">
        <f t="shared" si="30"/>
        <v>V</v>
      </c>
      <c r="C78" s="17" t="s">
        <v>35</v>
      </c>
      <c r="D78" s="5" t="s">
        <v>40</v>
      </c>
      <c r="E78" s="5" t="s">
        <v>27</v>
      </c>
      <c r="F78" s="5" t="s">
        <v>41</v>
      </c>
      <c r="G78" s="5">
        <v>118</v>
      </c>
      <c r="H78" s="5">
        <v>146</v>
      </c>
      <c r="I78" s="5">
        <v>140</v>
      </c>
      <c r="J78" s="5">
        <v>106</v>
      </c>
      <c r="K78" s="5">
        <v>248</v>
      </c>
      <c r="L78" s="5">
        <v>190</v>
      </c>
      <c r="M78" s="6" t="s">
        <v>38</v>
      </c>
      <c r="N78" s="7">
        <v>109</v>
      </c>
      <c r="O78" s="7">
        <v>75</v>
      </c>
      <c r="P78" s="5">
        <v>587.69188040342556</v>
      </c>
      <c r="Q78" s="5">
        <v>11.512724876403809</v>
      </c>
      <c r="R78" s="5">
        <v>1.1512724876403808</v>
      </c>
      <c r="S78" s="5">
        <v>0.83112182776307131</v>
      </c>
      <c r="T78" s="5">
        <v>388.61950392102023</v>
      </c>
      <c r="U78" s="5">
        <v>5.0341706275939941</v>
      </c>
      <c r="V78" s="5">
        <v>0.50341706275939946</v>
      </c>
      <c r="W78" s="5">
        <v>4.9395980834960938</v>
      </c>
      <c r="X78" s="5">
        <v>1.4175453186035156</v>
      </c>
      <c r="Y78" s="5">
        <v>0.10516733676195145</v>
      </c>
      <c r="Z78" s="5">
        <v>5.0341706275939941</v>
      </c>
    </row>
    <row r="79" spans="1:26" s="4" customFormat="1" ht="15" hidden="1" customHeight="1" x14ac:dyDescent="0.2">
      <c r="A79" s="18"/>
      <c r="B79" s="4" t="str">
        <f t="shared" si="31"/>
        <v>V</v>
      </c>
      <c r="C79" s="17"/>
      <c r="D79" s="5" t="s">
        <v>43</v>
      </c>
      <c r="E79" s="5" t="s">
        <v>31</v>
      </c>
      <c r="F79" s="5" t="s">
        <v>41</v>
      </c>
      <c r="G79" s="5">
        <v>68</v>
      </c>
      <c r="H79" s="5">
        <v>139</v>
      </c>
      <c r="I79" s="5">
        <v>140</v>
      </c>
      <c r="J79" s="5">
        <v>89</v>
      </c>
      <c r="K79" s="5">
        <v>241</v>
      </c>
      <c r="L79" s="5">
        <v>211</v>
      </c>
      <c r="M79" s="6" t="s">
        <v>62</v>
      </c>
      <c r="N79" s="7">
        <v>122</v>
      </c>
      <c r="O79" s="7">
        <v>75</v>
      </c>
      <c r="P79" s="5">
        <v>726.55911352537396</v>
      </c>
      <c r="Q79" s="5">
        <v>17.596271514892578</v>
      </c>
      <c r="R79" s="5">
        <v>1.7596271514892579</v>
      </c>
      <c r="S79" s="5">
        <v>1.0275097522133572</v>
      </c>
      <c r="T79" s="5">
        <v>427.45882538722748</v>
      </c>
      <c r="U79" s="5">
        <v>6.0907015800476074</v>
      </c>
      <c r="V79" s="5">
        <v>0.60907015800476083</v>
      </c>
      <c r="W79" s="5">
        <v>5.5950431823730469</v>
      </c>
      <c r="X79" s="5">
        <v>1.543975830078125</v>
      </c>
      <c r="Y79" s="5">
        <v>0.23810029029846191</v>
      </c>
      <c r="Z79" s="5">
        <v>7.4351119995117188</v>
      </c>
    </row>
    <row r="80" spans="1:26" s="4" customFormat="1" ht="15" hidden="1" customHeight="1" x14ac:dyDescent="0.2">
      <c r="A80" s="18" t="s">
        <v>60</v>
      </c>
      <c r="B80" s="4" t="str">
        <f t="shared" si="16"/>
        <v>V</v>
      </c>
      <c r="C80" s="17" t="s">
        <v>35</v>
      </c>
      <c r="D80" s="5" t="s">
        <v>40</v>
      </c>
      <c r="E80" s="5" t="s">
        <v>27</v>
      </c>
      <c r="F80" s="5" t="s">
        <v>41</v>
      </c>
      <c r="G80" s="5">
        <v>118</v>
      </c>
      <c r="H80" s="5">
        <v>141</v>
      </c>
      <c r="I80" s="5">
        <v>130</v>
      </c>
      <c r="J80" s="5">
        <v>114</v>
      </c>
      <c r="K80" s="5">
        <v>243</v>
      </c>
      <c r="L80" s="5">
        <v>196</v>
      </c>
      <c r="M80" s="6" t="s">
        <v>64</v>
      </c>
      <c r="N80" s="7">
        <v>117</v>
      </c>
      <c r="O80" s="7">
        <v>75</v>
      </c>
      <c r="P80" s="5">
        <v>807.06302547031532</v>
      </c>
      <c r="Q80" s="5">
        <v>21.711690902709961</v>
      </c>
      <c r="R80" s="5">
        <v>2.1711690902709964</v>
      </c>
      <c r="S80" s="5">
        <v>1.1413594763099826</v>
      </c>
      <c r="T80" s="5">
        <v>325.01673288552178</v>
      </c>
      <c r="U80" s="5">
        <v>3.5211958885192871</v>
      </c>
      <c r="V80" s="5">
        <v>0.35211958885192873</v>
      </c>
      <c r="W80" s="5">
        <v>5.0444679260253906</v>
      </c>
      <c r="X80" s="5">
        <v>1.3487663269042969</v>
      </c>
      <c r="Y80" s="5">
        <v>0.12872679531574249</v>
      </c>
      <c r="Z80" s="5">
        <v>3.7336814403533936</v>
      </c>
    </row>
    <row r="81" spans="1:26" s="4" customFormat="1" ht="15" hidden="1" customHeight="1" x14ac:dyDescent="0.2">
      <c r="A81" s="18"/>
      <c r="B81" s="4" t="str">
        <f t="shared" si="17"/>
        <v>V</v>
      </c>
      <c r="C81" s="17"/>
      <c r="D81" s="5" t="s">
        <v>43</v>
      </c>
      <c r="E81" s="5" t="s">
        <v>31</v>
      </c>
      <c r="F81" s="5" t="s">
        <v>41</v>
      </c>
      <c r="G81" s="5">
        <v>69</v>
      </c>
      <c r="H81" s="5">
        <v>141</v>
      </c>
      <c r="I81" s="5">
        <v>132</v>
      </c>
      <c r="J81" s="5">
        <v>90</v>
      </c>
      <c r="K81" s="5">
        <v>241</v>
      </c>
      <c r="L81" s="5">
        <v>202</v>
      </c>
      <c r="M81" s="6" t="s">
        <v>62</v>
      </c>
      <c r="N81" s="7">
        <v>117</v>
      </c>
      <c r="O81" s="7">
        <v>75</v>
      </c>
      <c r="P81" s="5">
        <v>858.42820047591317</v>
      </c>
      <c r="Q81" s="5">
        <v>24.563299179077148</v>
      </c>
      <c r="R81" s="5">
        <v>2.4563299179077149</v>
      </c>
      <c r="S81" s="5">
        <v>1.2140008034365666</v>
      </c>
      <c r="T81" s="5">
        <v>343.27232116560759</v>
      </c>
      <c r="U81" s="5">
        <v>3.9278628826141357</v>
      </c>
      <c r="V81" s="5">
        <v>0.3927862882614136</v>
      </c>
      <c r="W81" s="5">
        <v>5.2019767761230469</v>
      </c>
      <c r="X81" s="5">
        <v>1.7915802001953125</v>
      </c>
      <c r="Y81" s="5">
        <v>0.16528652608394623</v>
      </c>
      <c r="Z81" s="5">
        <v>4.8551006317138672</v>
      </c>
    </row>
    <row r="82" spans="1:26" s="4" customFormat="1" ht="15" hidden="1" customHeight="1" x14ac:dyDescent="0.2">
      <c r="A82" s="18" t="s">
        <v>65</v>
      </c>
      <c r="B82" s="4" t="str">
        <f t="shared" si="18"/>
        <v>V</v>
      </c>
      <c r="C82" s="17" t="s">
        <v>35</v>
      </c>
      <c r="D82" s="5" t="s">
        <v>40</v>
      </c>
      <c r="E82" s="5" t="s">
        <v>27</v>
      </c>
      <c r="F82" s="5" t="s">
        <v>41</v>
      </c>
      <c r="G82" s="5">
        <v>118</v>
      </c>
      <c r="H82" s="5">
        <v>132</v>
      </c>
      <c r="I82" s="5">
        <v>121</v>
      </c>
      <c r="J82" s="5">
        <v>118</v>
      </c>
      <c r="K82" s="5">
        <v>249</v>
      </c>
      <c r="L82" s="5">
        <v>174</v>
      </c>
      <c r="M82" s="6" t="s">
        <v>38</v>
      </c>
      <c r="N82" s="7">
        <v>122</v>
      </c>
      <c r="O82" s="7">
        <v>75</v>
      </c>
      <c r="P82" s="5">
        <v>725.54711054427105</v>
      </c>
      <c r="Q82" s="5">
        <v>17.547286987304688</v>
      </c>
      <c r="R82" s="5">
        <v>1.7547286987304689</v>
      </c>
      <c r="S82" s="5">
        <v>1.0260785638723193</v>
      </c>
      <c r="T82" s="5">
        <v>433.45776874261372</v>
      </c>
      <c r="U82" s="5">
        <v>6.2628545761108398</v>
      </c>
      <c r="V82" s="5">
        <v>0.62628545761108401</v>
      </c>
      <c r="W82" s="5">
        <v>5.2281837463378906</v>
      </c>
      <c r="X82" s="5">
        <v>2.1593971252441406</v>
      </c>
      <c r="Y82" s="5">
        <v>0.15147930383682251</v>
      </c>
      <c r="Z82" s="5">
        <v>7.2081918716430664</v>
      </c>
    </row>
    <row r="83" spans="1:26" s="4" customFormat="1" ht="17" hidden="1" x14ac:dyDescent="0.2">
      <c r="A83" s="18"/>
      <c r="B83" s="4" t="str">
        <f t="shared" si="19"/>
        <v>V</v>
      </c>
      <c r="C83" s="17"/>
      <c r="D83" s="5" t="s">
        <v>43</v>
      </c>
      <c r="E83" s="5" t="s">
        <v>31</v>
      </c>
      <c r="F83" s="5" t="s">
        <v>41</v>
      </c>
      <c r="G83" s="5">
        <v>71</v>
      </c>
      <c r="H83" s="5">
        <v>134</v>
      </c>
      <c r="I83" s="5">
        <v>123</v>
      </c>
      <c r="J83" s="5">
        <v>85</v>
      </c>
      <c r="K83" s="5">
        <v>251</v>
      </c>
      <c r="L83" s="5">
        <v>176</v>
      </c>
      <c r="M83" s="6" t="s">
        <v>44</v>
      </c>
      <c r="N83" s="7">
        <v>124</v>
      </c>
      <c r="O83" s="7">
        <v>75</v>
      </c>
      <c r="P83" s="5">
        <v>671.09131285254853</v>
      </c>
      <c r="Q83" s="5">
        <v>15.012118339538574</v>
      </c>
      <c r="R83" s="5">
        <v>1.5012118339538576</v>
      </c>
      <c r="S83" s="5">
        <v>0.94906643622683984</v>
      </c>
      <c r="T83" s="5">
        <v>471.29776366035304</v>
      </c>
      <c r="U83" s="5">
        <v>7.404052734375</v>
      </c>
      <c r="V83" s="5">
        <v>0.74040527343750007</v>
      </c>
      <c r="W83" s="5">
        <v>5.1047782897949219</v>
      </c>
      <c r="X83" s="5">
        <v>2.3744468688964844</v>
      </c>
      <c r="Y83" s="5">
        <v>0.13609887659549713</v>
      </c>
      <c r="Z83" s="5">
        <v>9.3105525970458984</v>
      </c>
    </row>
    <row r="84" spans="1:26" s="4" customFormat="1" ht="15" customHeight="1" x14ac:dyDescent="0.2">
      <c r="A84" s="18" t="s">
        <v>66</v>
      </c>
      <c r="B84" s="4" t="str">
        <f t="shared" ref="B84" si="36">C84</f>
        <v>L</v>
      </c>
      <c r="C84" s="17" t="s">
        <v>25</v>
      </c>
      <c r="D84" s="5" t="s">
        <v>26</v>
      </c>
      <c r="E84" s="5" t="s">
        <v>27</v>
      </c>
      <c r="F84" s="5" t="s">
        <v>28</v>
      </c>
      <c r="G84" s="5">
        <v>133</v>
      </c>
      <c r="H84" s="5">
        <v>121</v>
      </c>
      <c r="I84" s="5">
        <v>196</v>
      </c>
      <c r="J84" s="5">
        <v>170</v>
      </c>
      <c r="K84" s="5">
        <v>108</v>
      </c>
      <c r="L84" s="5">
        <v>219</v>
      </c>
      <c r="M84" s="6" t="s">
        <v>42</v>
      </c>
      <c r="N84" s="7">
        <v>40.299999999999997</v>
      </c>
      <c r="O84" s="7">
        <v>65</v>
      </c>
      <c r="P84" s="5">
        <v>498.25776784979104</v>
      </c>
      <c r="Q84" s="5">
        <v>8.275360107421875</v>
      </c>
      <c r="R84" s="5">
        <v>0.82753601074218752</v>
      </c>
      <c r="S84" s="5">
        <v>0.70464289285091952</v>
      </c>
      <c r="T84" s="5">
        <v>466.79655833213633</v>
      </c>
      <c r="U84" s="5">
        <v>7.263300895690918</v>
      </c>
      <c r="V84" s="5">
        <v>0.72633008956909184</v>
      </c>
      <c r="W84" s="5">
        <v>2.2701416015625</v>
      </c>
      <c r="X84" s="5">
        <v>1.0137100219726562</v>
      </c>
      <c r="Y84" s="5">
        <v>5.6887567043304443E-3</v>
      </c>
      <c r="Z84" s="5">
        <v>7.263300895690918</v>
      </c>
    </row>
    <row r="85" spans="1:26" s="4" customFormat="1" ht="15" customHeight="1" x14ac:dyDescent="0.2">
      <c r="A85" s="18"/>
      <c r="B85" s="4" t="str">
        <f t="shared" ref="B85" si="37">C84</f>
        <v>L</v>
      </c>
      <c r="C85" s="17"/>
      <c r="D85" s="5" t="s">
        <v>32</v>
      </c>
      <c r="E85" s="5" t="s">
        <v>27</v>
      </c>
      <c r="F85" s="5" t="s">
        <v>28</v>
      </c>
      <c r="G85" s="5">
        <v>135</v>
      </c>
      <c r="H85" s="5">
        <v>127</v>
      </c>
      <c r="I85" s="5">
        <v>196</v>
      </c>
      <c r="J85" s="5">
        <v>172</v>
      </c>
      <c r="K85" s="5">
        <v>117</v>
      </c>
      <c r="L85" s="5">
        <v>219</v>
      </c>
      <c r="M85" s="6" t="s">
        <v>42</v>
      </c>
      <c r="N85" s="7">
        <v>40.299999999999997</v>
      </c>
      <c r="O85" s="7">
        <v>65</v>
      </c>
      <c r="P85" s="5">
        <v>476.49914930173622</v>
      </c>
      <c r="Q85" s="5">
        <v>7.5683813095092773</v>
      </c>
      <c r="R85" s="5">
        <v>0.75683813095092778</v>
      </c>
      <c r="S85" s="5">
        <v>0.67387155940175769</v>
      </c>
      <c r="T85" s="5">
        <v>476.49914930173622</v>
      </c>
      <c r="U85" s="5">
        <v>7.5683813095092773</v>
      </c>
      <c r="V85" s="5">
        <v>0.75683813095092778</v>
      </c>
      <c r="W85" s="5">
        <v>2.945556640625</v>
      </c>
      <c r="X85" s="5">
        <v>1.3090171813964844</v>
      </c>
      <c r="Y85" s="5">
        <v>1.5868276357650757E-2</v>
      </c>
      <c r="Z85" s="5">
        <v>7.5683813095092773</v>
      </c>
    </row>
    <row r="86" spans="1:26" s="4" customFormat="1" ht="15" customHeight="1" x14ac:dyDescent="0.2">
      <c r="A86" s="18"/>
      <c r="B86" s="4" t="s">
        <v>25</v>
      </c>
      <c r="C86" s="17"/>
      <c r="D86" s="5" t="s">
        <v>30</v>
      </c>
      <c r="E86" s="5" t="s">
        <v>31</v>
      </c>
      <c r="F86" s="5" t="s">
        <v>28</v>
      </c>
      <c r="G86" s="5">
        <v>61</v>
      </c>
      <c r="H86" s="5">
        <v>111</v>
      </c>
      <c r="I86" s="5">
        <v>194</v>
      </c>
      <c r="J86" s="5">
        <v>22</v>
      </c>
      <c r="K86" s="5">
        <v>94</v>
      </c>
      <c r="L86" s="5">
        <v>224</v>
      </c>
      <c r="M86" s="6" t="s">
        <v>42</v>
      </c>
      <c r="N86" s="7">
        <v>40.9</v>
      </c>
      <c r="O86" s="7">
        <v>65</v>
      </c>
      <c r="P86" s="5">
        <v>449.36640958042705</v>
      </c>
      <c r="Q86" s="5">
        <v>6.7310056686401367</v>
      </c>
      <c r="R86" s="5">
        <v>0.67310056686401376</v>
      </c>
      <c r="S86" s="5">
        <v>0.63550007090354299</v>
      </c>
      <c r="T86" s="5">
        <v>395.8497870522375</v>
      </c>
      <c r="U86" s="5">
        <v>5.2232351303100586</v>
      </c>
      <c r="V86" s="5">
        <v>0.52232351303100588</v>
      </c>
      <c r="W86" s="5">
        <v>3.0337409973144531</v>
      </c>
      <c r="X86" s="5">
        <v>2.6405563354492188</v>
      </c>
      <c r="Y86" s="5">
        <v>1.7602443695068359E-2</v>
      </c>
      <c r="Z86" s="5">
        <v>5.2232351303100586</v>
      </c>
    </row>
    <row r="87" spans="1:26" s="4" customFormat="1" ht="15" customHeight="1" x14ac:dyDescent="0.2">
      <c r="A87" s="18"/>
      <c r="B87" s="4" t="s">
        <v>25</v>
      </c>
      <c r="C87" s="17"/>
      <c r="D87" s="5" t="s">
        <v>33</v>
      </c>
      <c r="E87" s="5" t="s">
        <v>31</v>
      </c>
      <c r="F87" s="5" t="s">
        <v>28</v>
      </c>
      <c r="G87" s="5">
        <v>61</v>
      </c>
      <c r="H87" s="5">
        <v>115</v>
      </c>
      <c r="I87" s="5">
        <v>193</v>
      </c>
      <c r="J87" s="5">
        <v>23</v>
      </c>
      <c r="K87" s="5">
        <v>103</v>
      </c>
      <c r="L87" s="5">
        <v>228</v>
      </c>
      <c r="M87" s="6" t="s">
        <v>42</v>
      </c>
      <c r="N87" s="7">
        <v>42.2</v>
      </c>
      <c r="O87" s="7">
        <v>65</v>
      </c>
      <c r="P87" s="5">
        <v>452.10322967671738</v>
      </c>
      <c r="Q87" s="5">
        <v>6.8132443428039551</v>
      </c>
      <c r="R87" s="5">
        <v>0.68132443428039557</v>
      </c>
      <c r="S87" s="5">
        <v>0.639370519001492</v>
      </c>
      <c r="T87" s="5">
        <v>452.10322967671738</v>
      </c>
      <c r="U87" s="5">
        <v>6.8132443428039551</v>
      </c>
      <c r="V87" s="5">
        <v>0.68132443428039557</v>
      </c>
      <c r="W87" s="5">
        <v>3.0337638854980469</v>
      </c>
      <c r="X87" s="5">
        <v>2.6405601501464844</v>
      </c>
      <c r="Y87" s="5">
        <v>2.3052100092172623E-2</v>
      </c>
      <c r="Z87" s="5">
        <v>6.8132443428039551</v>
      </c>
    </row>
    <row r="88" spans="1:26" s="4" customFormat="1" ht="15" customHeight="1" x14ac:dyDescent="0.2">
      <c r="A88" s="18" t="s">
        <v>67</v>
      </c>
      <c r="B88" s="4" t="str">
        <f t="shared" si="22"/>
        <v>L</v>
      </c>
      <c r="C88" s="17" t="s">
        <v>25</v>
      </c>
      <c r="D88" s="5" t="s">
        <v>26</v>
      </c>
      <c r="E88" s="5" t="s">
        <v>27</v>
      </c>
      <c r="F88" s="5" t="s">
        <v>28</v>
      </c>
      <c r="G88" s="5">
        <v>131</v>
      </c>
      <c r="H88" s="5">
        <v>114</v>
      </c>
      <c r="I88" s="5">
        <v>181</v>
      </c>
      <c r="J88" s="5">
        <v>167</v>
      </c>
      <c r="K88" s="5">
        <v>91</v>
      </c>
      <c r="L88" s="5">
        <v>214</v>
      </c>
      <c r="M88" s="6" t="s">
        <v>29</v>
      </c>
      <c r="N88" s="7">
        <v>42.7</v>
      </c>
      <c r="O88" s="7">
        <v>65</v>
      </c>
      <c r="P88" s="5">
        <v>449.54413529784648</v>
      </c>
      <c r="Q88" s="5">
        <v>6.7363309860229492</v>
      </c>
      <c r="R88" s="5">
        <v>0.67363309860229492</v>
      </c>
      <c r="S88" s="5">
        <v>0.63575141302350002</v>
      </c>
      <c r="T88" s="5">
        <v>402.10824536775772</v>
      </c>
      <c r="U88" s="5">
        <v>5.3897013664245605</v>
      </c>
      <c r="V88" s="5">
        <v>0.53897013664245608</v>
      </c>
      <c r="W88" s="5">
        <v>2.8538246154785156</v>
      </c>
      <c r="X88" s="5">
        <v>0.9990997314453125</v>
      </c>
      <c r="Y88" s="5">
        <v>1.1286024935543537E-2</v>
      </c>
      <c r="Z88" s="5">
        <v>5.3897013664245605</v>
      </c>
    </row>
    <row r="89" spans="1:26" s="4" customFormat="1" ht="15" customHeight="1" x14ac:dyDescent="0.2">
      <c r="A89" s="18"/>
      <c r="B89" s="4" t="str">
        <f t="shared" si="23"/>
        <v>L</v>
      </c>
      <c r="C89" s="17"/>
      <c r="D89" s="5" t="s">
        <v>32</v>
      </c>
      <c r="E89" s="5" t="s">
        <v>27</v>
      </c>
      <c r="F89" s="5" t="s">
        <v>28</v>
      </c>
      <c r="G89" s="5">
        <v>131</v>
      </c>
      <c r="H89" s="5">
        <v>118</v>
      </c>
      <c r="I89" s="5">
        <v>183</v>
      </c>
      <c r="J89" s="5">
        <v>168</v>
      </c>
      <c r="K89" s="5">
        <v>95</v>
      </c>
      <c r="L89" s="5">
        <v>216</v>
      </c>
      <c r="M89" s="6" t="s">
        <v>38</v>
      </c>
      <c r="N89" s="7">
        <v>44.4</v>
      </c>
      <c r="O89" s="7">
        <v>65</v>
      </c>
      <c r="P89" s="5">
        <v>508.20846378885312</v>
      </c>
      <c r="Q89" s="5">
        <v>8.6091947555541992</v>
      </c>
      <c r="R89" s="5">
        <v>0.86091947555541992</v>
      </c>
      <c r="S89" s="5">
        <v>0.71871530200299205</v>
      </c>
      <c r="T89" s="5">
        <v>360.90216525626124</v>
      </c>
      <c r="U89" s="5">
        <v>4.3416790962219238</v>
      </c>
      <c r="V89" s="5">
        <v>0.43416790962219243</v>
      </c>
      <c r="W89" s="5">
        <v>3.0878486633300781</v>
      </c>
      <c r="X89" s="5">
        <v>1.281402587890625</v>
      </c>
      <c r="Y89" s="5">
        <v>2.8724066913127899E-2</v>
      </c>
      <c r="Z89" s="5">
        <v>4.3416790962219238</v>
      </c>
    </row>
    <row r="90" spans="1:26" s="4" customFormat="1" ht="15" customHeight="1" x14ac:dyDescent="0.2">
      <c r="A90" s="18"/>
      <c r="B90" s="4" t="s">
        <v>25</v>
      </c>
      <c r="C90" s="17"/>
      <c r="D90" s="5" t="s">
        <v>30</v>
      </c>
      <c r="E90" s="5" t="s">
        <v>31</v>
      </c>
      <c r="F90" s="5" t="s">
        <v>28</v>
      </c>
      <c r="G90" s="5">
        <v>60</v>
      </c>
      <c r="H90" s="5">
        <v>104</v>
      </c>
      <c r="I90" s="5">
        <v>179</v>
      </c>
      <c r="J90" s="5">
        <v>20</v>
      </c>
      <c r="K90" s="5">
        <v>81</v>
      </c>
      <c r="L90" s="5">
        <v>211</v>
      </c>
      <c r="M90" s="6" t="s">
        <v>38</v>
      </c>
      <c r="N90" s="7">
        <v>45.9</v>
      </c>
      <c r="O90" s="7">
        <v>65</v>
      </c>
      <c r="P90" s="5">
        <v>497.53357050361558</v>
      </c>
      <c r="Q90" s="5">
        <v>8.2513217926025391</v>
      </c>
      <c r="R90" s="5">
        <v>0.82513217926025395</v>
      </c>
      <c r="S90" s="5">
        <v>0.70361872314212359</v>
      </c>
      <c r="T90" s="5">
        <v>471.5758177315729</v>
      </c>
      <c r="U90" s="5">
        <v>7.4127917289733887</v>
      </c>
      <c r="V90" s="5">
        <v>0.74127917289733891</v>
      </c>
      <c r="W90" s="5">
        <v>3.1747398376464844</v>
      </c>
      <c r="X90" s="5">
        <v>1.6200485229492188</v>
      </c>
      <c r="Y90" s="5">
        <v>3.1234372407197952E-2</v>
      </c>
      <c r="Z90" s="5">
        <v>7.4127917289733887</v>
      </c>
    </row>
    <row r="91" spans="1:26" s="4" customFormat="1" ht="15" customHeight="1" x14ac:dyDescent="0.2">
      <c r="A91" s="18"/>
      <c r="B91" s="4" t="s">
        <v>25</v>
      </c>
      <c r="C91" s="17"/>
      <c r="D91" s="5" t="s">
        <v>33</v>
      </c>
      <c r="E91" s="5" t="s">
        <v>31</v>
      </c>
      <c r="F91" s="5" t="s">
        <v>28</v>
      </c>
      <c r="G91" s="5">
        <v>60</v>
      </c>
      <c r="H91" s="5">
        <v>109</v>
      </c>
      <c r="I91" s="5">
        <v>179</v>
      </c>
      <c r="J91" s="5">
        <v>23</v>
      </c>
      <c r="K91" s="5">
        <v>86</v>
      </c>
      <c r="L91" s="5">
        <v>218</v>
      </c>
      <c r="M91" s="6" t="s">
        <v>38</v>
      </c>
      <c r="N91" s="7">
        <v>48.7</v>
      </c>
      <c r="O91" s="7">
        <v>65</v>
      </c>
      <c r="P91" s="5">
        <v>490.0891141238651</v>
      </c>
      <c r="Q91" s="5">
        <v>8.0062446594238281</v>
      </c>
      <c r="R91" s="5">
        <v>0.8006244659423829</v>
      </c>
      <c r="S91" s="5">
        <v>0.69309067196538554</v>
      </c>
      <c r="T91" s="5">
        <v>490.0891141238651</v>
      </c>
      <c r="U91" s="5">
        <v>8.0062446594238281</v>
      </c>
      <c r="V91" s="5">
        <v>0.8006244659423829</v>
      </c>
      <c r="W91" s="5">
        <v>3.1708831787109375</v>
      </c>
      <c r="X91" s="5">
        <v>1.7868232727050781</v>
      </c>
      <c r="Y91" s="5">
        <v>3.2674722373485565E-2</v>
      </c>
      <c r="Z91" s="5">
        <v>8.0062446594238281</v>
      </c>
    </row>
    <row r="92" spans="1:26" s="4" customFormat="1" ht="15" customHeight="1" x14ac:dyDescent="0.2">
      <c r="A92" s="18" t="s">
        <v>63</v>
      </c>
      <c r="B92" s="4" t="str">
        <f t="shared" ref="B92" si="38">C92</f>
        <v>L</v>
      </c>
      <c r="C92" s="17" t="s">
        <v>25</v>
      </c>
      <c r="D92" s="5" t="s">
        <v>26</v>
      </c>
      <c r="E92" s="5" t="s">
        <v>27</v>
      </c>
      <c r="F92" s="5" t="s">
        <v>28</v>
      </c>
      <c r="G92" s="5">
        <v>134</v>
      </c>
      <c r="H92" s="5">
        <v>120</v>
      </c>
      <c r="I92" s="5">
        <v>191</v>
      </c>
      <c r="J92" s="5">
        <v>173</v>
      </c>
      <c r="K92" s="5">
        <v>107</v>
      </c>
      <c r="L92" s="5">
        <v>221</v>
      </c>
      <c r="M92" s="6" t="s">
        <v>38</v>
      </c>
      <c r="N92" s="7">
        <v>40.299999999999997</v>
      </c>
      <c r="O92" s="7">
        <v>65</v>
      </c>
      <c r="P92" s="5">
        <v>777.07643753005686</v>
      </c>
      <c r="Q92" s="5">
        <v>20.128259658813477</v>
      </c>
      <c r="R92" s="5">
        <v>2.0128259658813477</v>
      </c>
      <c r="S92" s="5">
        <v>1.0989520369555756</v>
      </c>
      <c r="T92" s="5">
        <v>597.95048670094627</v>
      </c>
      <c r="U92" s="5">
        <v>11.918159484863281</v>
      </c>
      <c r="V92" s="5">
        <v>1.1918159484863282</v>
      </c>
      <c r="W92" s="5">
        <v>3.5228080749511719</v>
      </c>
      <c r="X92" s="5">
        <v>0.68975067138671875</v>
      </c>
      <c r="Y92" s="5">
        <v>2.1958710625767708E-2</v>
      </c>
      <c r="Z92" s="5">
        <v>11.918159484863281</v>
      </c>
    </row>
    <row r="93" spans="1:26" s="4" customFormat="1" ht="15" customHeight="1" x14ac:dyDescent="0.2">
      <c r="A93" s="18"/>
      <c r="B93" s="4" t="str">
        <f t="shared" ref="B93" si="39">C92</f>
        <v>L</v>
      </c>
      <c r="C93" s="17"/>
      <c r="D93" s="5" t="s">
        <v>32</v>
      </c>
      <c r="E93" s="5" t="s">
        <v>27</v>
      </c>
      <c r="F93" s="5" t="s">
        <v>28</v>
      </c>
      <c r="G93" s="5">
        <v>134</v>
      </c>
      <c r="H93" s="5">
        <v>126</v>
      </c>
      <c r="I93" s="5">
        <v>191</v>
      </c>
      <c r="J93" s="5">
        <v>175</v>
      </c>
      <c r="K93" s="5">
        <v>113</v>
      </c>
      <c r="L93" s="5">
        <v>220</v>
      </c>
      <c r="M93" s="6" t="s">
        <v>38</v>
      </c>
      <c r="N93" s="7">
        <v>40.299999999999997</v>
      </c>
      <c r="O93" s="7">
        <v>65</v>
      </c>
      <c r="P93" s="5">
        <v>591.50818685765364</v>
      </c>
      <c r="Q93" s="5">
        <v>11.662731170654297</v>
      </c>
      <c r="R93" s="5">
        <v>1.1662731170654297</v>
      </c>
      <c r="S93" s="5">
        <v>0.83651890010881269</v>
      </c>
      <c r="T93" s="5">
        <v>579.37183268153512</v>
      </c>
      <c r="U93" s="5">
        <v>11.189057350158691</v>
      </c>
      <c r="V93" s="5">
        <v>1.1189057350158691</v>
      </c>
      <c r="W93" s="5">
        <v>3.5228118896484375</v>
      </c>
      <c r="X93" s="5">
        <v>0.74549102783203125</v>
      </c>
      <c r="Y93" s="5">
        <v>2.938559278845787E-2</v>
      </c>
      <c r="Z93" s="5">
        <v>11.189057350158691</v>
      </c>
    </row>
    <row r="94" spans="1:26" s="4" customFormat="1" ht="15" customHeight="1" x14ac:dyDescent="0.2">
      <c r="A94" s="18"/>
      <c r="B94" s="4" t="s">
        <v>25</v>
      </c>
      <c r="C94" s="17"/>
      <c r="D94" s="5" t="s">
        <v>30</v>
      </c>
      <c r="E94" s="5" t="s">
        <v>31</v>
      </c>
      <c r="F94" s="5" t="s">
        <v>28</v>
      </c>
      <c r="G94" s="5">
        <v>65</v>
      </c>
      <c r="H94" s="5">
        <v>116</v>
      </c>
      <c r="I94" s="5">
        <v>199</v>
      </c>
      <c r="J94" s="5">
        <v>30</v>
      </c>
      <c r="K94" s="5">
        <v>103</v>
      </c>
      <c r="L94" s="5">
        <v>239</v>
      </c>
      <c r="M94" s="6" t="s">
        <v>38</v>
      </c>
      <c r="N94" s="7">
        <v>42.2</v>
      </c>
      <c r="O94" s="7">
        <v>65</v>
      </c>
      <c r="P94" s="5">
        <v>619.92805924963545</v>
      </c>
      <c r="Q94" s="5">
        <v>12.810359954833984</v>
      </c>
      <c r="R94" s="5">
        <v>1.2810359954833985</v>
      </c>
      <c r="S94" s="5">
        <v>0.87671066908646611</v>
      </c>
      <c r="T94" s="5">
        <v>619.92805924963545</v>
      </c>
      <c r="U94" s="5">
        <v>12.810359954833984</v>
      </c>
      <c r="V94" s="5">
        <v>1.2810359954833985</v>
      </c>
      <c r="W94" s="5">
        <v>3.5228118896484375</v>
      </c>
      <c r="X94" s="5">
        <v>1.0248527526855469</v>
      </c>
      <c r="Y94" s="5">
        <v>3.0978860333561897E-2</v>
      </c>
      <c r="Z94" s="5">
        <v>12.810359954833984</v>
      </c>
    </row>
    <row r="95" spans="1:26" s="4" customFormat="1" ht="15" customHeight="1" x14ac:dyDescent="0.2">
      <c r="A95" s="18"/>
      <c r="B95" s="4" t="s">
        <v>25</v>
      </c>
      <c r="C95" s="17"/>
      <c r="D95" s="5" t="s">
        <v>33</v>
      </c>
      <c r="E95" s="5" t="s">
        <v>31</v>
      </c>
      <c r="F95" s="5" t="s">
        <v>28</v>
      </c>
      <c r="G95" s="5">
        <v>64</v>
      </c>
      <c r="H95" s="5">
        <v>121</v>
      </c>
      <c r="I95" s="5">
        <v>198</v>
      </c>
      <c r="J95" s="5">
        <v>29</v>
      </c>
      <c r="K95" s="5">
        <v>105</v>
      </c>
      <c r="L95" s="5">
        <v>239</v>
      </c>
      <c r="M95" s="6" t="s">
        <v>38</v>
      </c>
      <c r="N95" s="7">
        <v>44</v>
      </c>
      <c r="O95" s="7">
        <v>65</v>
      </c>
      <c r="P95" s="5">
        <v>655.26017881984978</v>
      </c>
      <c r="Q95" s="5">
        <v>14.312196731567383</v>
      </c>
      <c r="R95" s="5">
        <v>1.4312196731567384</v>
      </c>
      <c r="S95" s="5">
        <v>0.92667783177005103</v>
      </c>
      <c r="T95" s="5">
        <v>655.26017881984978</v>
      </c>
      <c r="U95" s="5">
        <v>14.312196731567383</v>
      </c>
      <c r="V95" s="5">
        <v>1.4312196731567384</v>
      </c>
      <c r="W95" s="5">
        <v>3.5228157043457031</v>
      </c>
      <c r="X95" s="5">
        <v>1.3514938354492188</v>
      </c>
      <c r="Y95" s="5">
        <v>3.2169897109270096E-2</v>
      </c>
      <c r="Z95" s="5">
        <v>14.312196731567383</v>
      </c>
    </row>
    <row r="96" spans="1:26" s="4" customFormat="1" ht="15" hidden="1" customHeight="1" x14ac:dyDescent="0.2">
      <c r="A96" s="18" t="s">
        <v>68</v>
      </c>
      <c r="B96" s="4" t="str">
        <f t="shared" si="32"/>
        <v>V</v>
      </c>
      <c r="C96" s="17" t="s">
        <v>35</v>
      </c>
      <c r="D96" s="5" t="s">
        <v>40</v>
      </c>
      <c r="E96" s="5" t="s">
        <v>27</v>
      </c>
      <c r="F96" s="5" t="s">
        <v>41</v>
      </c>
      <c r="G96" s="5">
        <v>119</v>
      </c>
      <c r="H96" s="5">
        <v>140</v>
      </c>
      <c r="I96" s="5">
        <v>144</v>
      </c>
      <c r="J96" s="5">
        <v>108</v>
      </c>
      <c r="K96" s="5">
        <v>246</v>
      </c>
      <c r="L96" s="5">
        <v>197</v>
      </c>
      <c r="M96" s="6" t="s">
        <v>29</v>
      </c>
      <c r="N96" s="11">
        <v>119</v>
      </c>
      <c r="O96" s="11">
        <v>75</v>
      </c>
      <c r="P96" s="5">
        <v>700.61110660549377</v>
      </c>
      <c r="Q96" s="5">
        <v>16.36186408996582</v>
      </c>
      <c r="R96" s="5">
        <v>1.6361864089965821</v>
      </c>
      <c r="S96" s="5">
        <v>0.99081372891071162</v>
      </c>
      <c r="T96" s="5">
        <v>423.03353497297462</v>
      </c>
      <c r="U96" s="5">
        <v>5.9652457237243652</v>
      </c>
      <c r="V96" s="5">
        <v>0.5965245723724365</v>
      </c>
      <c r="W96" s="5">
        <v>5.3341636657714844</v>
      </c>
      <c r="X96" s="5">
        <v>1.6192131042480469</v>
      </c>
      <c r="Y96" s="5">
        <v>0.18482039868831635</v>
      </c>
      <c r="Z96" s="5">
        <v>6.3975796699523926</v>
      </c>
    </row>
    <row r="97" spans="1:26" s="4" customFormat="1" ht="15" hidden="1" customHeight="1" x14ac:dyDescent="0.2">
      <c r="A97" s="18"/>
      <c r="B97" s="4" t="str">
        <f t="shared" si="33"/>
        <v>V</v>
      </c>
      <c r="C97" s="17"/>
      <c r="D97" s="14" t="s">
        <v>43</v>
      </c>
      <c r="E97" s="14" t="s">
        <v>31</v>
      </c>
      <c r="F97" s="14" t="s">
        <v>41</v>
      </c>
      <c r="G97" s="14">
        <v>74</v>
      </c>
      <c r="H97" s="14">
        <v>141</v>
      </c>
      <c r="I97" s="14">
        <v>140</v>
      </c>
      <c r="J97" s="14">
        <v>97</v>
      </c>
      <c r="K97" s="14">
        <v>242</v>
      </c>
      <c r="L97" s="14">
        <v>205</v>
      </c>
      <c r="M97" s="15" t="s">
        <v>44</v>
      </c>
      <c r="N97" s="16">
        <v>117</v>
      </c>
      <c r="O97" s="16">
        <v>75</v>
      </c>
      <c r="P97" s="14">
        <v>615.02737869999999</v>
      </c>
      <c r="Q97" s="14">
        <v>12.60862255</v>
      </c>
      <c r="R97" s="14">
        <v>1.2608622549999999</v>
      </c>
      <c r="S97" s="14">
        <v>0.86978005999999997</v>
      </c>
      <c r="T97" s="14">
        <v>345.65741800000001</v>
      </c>
      <c r="U97" s="14">
        <v>3.98263502</v>
      </c>
      <c r="V97" s="14">
        <v>0.39826350199999999</v>
      </c>
      <c r="W97" s="14">
        <v>4.7754783630000004</v>
      </c>
      <c r="X97" s="14">
        <v>1.5065193180000001</v>
      </c>
      <c r="Y97" s="14">
        <v>8.9394055E-2</v>
      </c>
      <c r="Z97" s="14">
        <v>5.4327335400000001</v>
      </c>
    </row>
    <row r="98" spans="1:26" s="4" customFormat="1" ht="15" customHeight="1" x14ac:dyDescent="0.2">
      <c r="A98" s="18" t="s">
        <v>65</v>
      </c>
      <c r="B98" s="4" t="str">
        <f t="shared" ref="B98" si="40">C98</f>
        <v>L</v>
      </c>
      <c r="C98" s="17" t="s">
        <v>25</v>
      </c>
      <c r="D98" s="5" t="s">
        <v>26</v>
      </c>
      <c r="E98" s="5" t="s">
        <v>27</v>
      </c>
      <c r="F98" s="5" t="s">
        <v>28</v>
      </c>
      <c r="G98" s="5">
        <v>136</v>
      </c>
      <c r="H98" s="5">
        <v>109</v>
      </c>
      <c r="I98" s="5">
        <v>171</v>
      </c>
      <c r="J98" s="5">
        <v>177</v>
      </c>
      <c r="K98" s="5">
        <v>94</v>
      </c>
      <c r="L98" s="5">
        <v>190</v>
      </c>
      <c r="M98" s="6" t="s">
        <v>38</v>
      </c>
      <c r="N98" s="7">
        <v>40.299999999999997</v>
      </c>
      <c r="O98" s="7">
        <v>65</v>
      </c>
      <c r="P98" s="5">
        <v>632.596443874942</v>
      </c>
      <c r="Q98" s="5">
        <v>13.339275360107422</v>
      </c>
      <c r="R98" s="5">
        <v>1.3339275360107423</v>
      </c>
      <c r="S98" s="5">
        <v>0.89462647043693333</v>
      </c>
      <c r="T98" s="5">
        <v>384.85934747458327</v>
      </c>
      <c r="U98" s="5">
        <v>4.9372239112854004</v>
      </c>
      <c r="V98" s="5">
        <v>0.49372239112854005</v>
      </c>
      <c r="W98" s="5">
        <v>3.07275390625</v>
      </c>
      <c r="X98" s="5">
        <v>1.2971267700195312</v>
      </c>
      <c r="Y98" s="5">
        <v>1.3352689333260059E-2</v>
      </c>
      <c r="Z98" s="5">
        <v>4.9372239112854004</v>
      </c>
    </row>
    <row r="99" spans="1:26" s="4" customFormat="1" ht="15" customHeight="1" x14ac:dyDescent="0.2">
      <c r="A99" s="18"/>
      <c r="B99" s="4" t="str">
        <f t="shared" ref="B99" si="41">C98</f>
        <v>L</v>
      </c>
      <c r="C99" s="17"/>
      <c r="D99" s="5" t="s">
        <v>32</v>
      </c>
      <c r="E99" s="5" t="s">
        <v>27</v>
      </c>
      <c r="F99" s="5" t="s">
        <v>28</v>
      </c>
      <c r="G99" s="5">
        <v>136</v>
      </c>
      <c r="H99" s="5">
        <v>115</v>
      </c>
      <c r="I99" s="5">
        <v>171</v>
      </c>
      <c r="J99" s="5">
        <v>177</v>
      </c>
      <c r="K99" s="5">
        <v>100</v>
      </c>
      <c r="L99" s="5">
        <v>194</v>
      </c>
      <c r="M99" s="6" t="s">
        <v>38</v>
      </c>
      <c r="N99" s="7">
        <v>40.299999999999997</v>
      </c>
      <c r="O99" s="7">
        <v>65</v>
      </c>
      <c r="P99" s="5">
        <v>618.69004855010132</v>
      </c>
      <c r="Q99" s="5">
        <v>12.759245872497559</v>
      </c>
      <c r="R99" s="5">
        <v>1.275924587249756</v>
      </c>
      <c r="S99" s="5">
        <v>0.87495985756482186</v>
      </c>
      <c r="T99" s="5">
        <v>363.67123252410357</v>
      </c>
      <c r="U99" s="5">
        <v>4.4085588455200195</v>
      </c>
      <c r="V99" s="5">
        <v>0.44085588455200198</v>
      </c>
      <c r="W99" s="5">
        <v>3.940399169921875</v>
      </c>
      <c r="X99" s="5">
        <v>1.3299598693847656</v>
      </c>
      <c r="Y99" s="5">
        <v>4.1237045079469681E-2</v>
      </c>
      <c r="Z99" s="5">
        <v>4.4085588455200195</v>
      </c>
    </row>
    <row r="100" spans="1:26" s="4" customFormat="1" ht="15" customHeight="1" x14ac:dyDescent="0.2">
      <c r="A100" s="18"/>
      <c r="B100" s="4" t="s">
        <v>25</v>
      </c>
      <c r="C100" s="17"/>
      <c r="D100" s="5" t="s">
        <v>30</v>
      </c>
      <c r="E100" s="5" t="s">
        <v>31</v>
      </c>
      <c r="F100" s="5" t="s">
        <v>28</v>
      </c>
      <c r="G100" s="5">
        <v>59</v>
      </c>
      <c r="H100" s="5">
        <v>112</v>
      </c>
      <c r="I100" s="5">
        <v>172</v>
      </c>
      <c r="J100" s="5">
        <v>14</v>
      </c>
      <c r="K100" s="5">
        <v>103</v>
      </c>
      <c r="L100" s="5">
        <v>202</v>
      </c>
      <c r="M100" s="6" t="s">
        <v>38</v>
      </c>
      <c r="N100" s="7">
        <v>42.6</v>
      </c>
      <c r="O100" s="7">
        <v>65</v>
      </c>
      <c r="P100" s="5">
        <v>476.25510385737107</v>
      </c>
      <c r="Q100" s="5">
        <v>7.5606307983398438</v>
      </c>
      <c r="R100" s="5">
        <v>0.75606307983398446</v>
      </c>
      <c r="S100" s="5">
        <v>0.67352642702450105</v>
      </c>
      <c r="T100" s="5">
        <v>451.09807191105637</v>
      </c>
      <c r="U100" s="5">
        <v>6.782982349395752</v>
      </c>
      <c r="V100" s="5">
        <v>0.6782982349395752</v>
      </c>
      <c r="W100" s="5">
        <v>3.9404067993164062</v>
      </c>
      <c r="X100" s="5">
        <v>1.4434814453125</v>
      </c>
      <c r="Y100" s="5">
        <v>4.3236300349235535E-2</v>
      </c>
      <c r="Z100" s="5">
        <v>6.782982349395752</v>
      </c>
    </row>
    <row r="101" spans="1:26" s="4" customFormat="1" ht="15" customHeight="1" x14ac:dyDescent="0.2">
      <c r="A101" s="18"/>
      <c r="B101" s="4" t="s">
        <v>25</v>
      </c>
      <c r="C101" s="17"/>
      <c r="D101" s="5" t="s">
        <v>33</v>
      </c>
      <c r="E101" s="5" t="s">
        <v>31</v>
      </c>
      <c r="F101" s="5" t="s">
        <v>28</v>
      </c>
      <c r="G101" s="5">
        <v>60</v>
      </c>
      <c r="H101" s="5">
        <v>118</v>
      </c>
      <c r="I101" s="5">
        <v>172</v>
      </c>
      <c r="J101" s="5">
        <v>15</v>
      </c>
      <c r="K101" s="5">
        <v>110</v>
      </c>
      <c r="L101" s="5">
        <v>204</v>
      </c>
      <c r="M101" s="6" t="s">
        <v>38</v>
      </c>
      <c r="N101" s="7">
        <v>44.4</v>
      </c>
      <c r="O101" s="7">
        <v>65</v>
      </c>
      <c r="P101" s="5">
        <v>489.26228595447395</v>
      </c>
      <c r="Q101" s="5">
        <v>7.979252815246582</v>
      </c>
      <c r="R101" s="5">
        <v>0.79792528152465825</v>
      </c>
      <c r="S101" s="5">
        <v>0.69192136035448049</v>
      </c>
      <c r="T101" s="5">
        <v>452.19534381424711</v>
      </c>
      <c r="U101" s="5">
        <v>6.8160209655761719</v>
      </c>
      <c r="V101" s="5">
        <v>0.68160209655761728</v>
      </c>
      <c r="W101" s="5">
        <v>3.9404067993164062</v>
      </c>
      <c r="X101" s="5">
        <v>1.5071792602539062</v>
      </c>
      <c r="Y101" s="5">
        <v>4.4514786452054977E-2</v>
      </c>
      <c r="Z101" s="5">
        <v>6.8160209655761719</v>
      </c>
    </row>
    <row r="102" spans="1:26" s="4" customFormat="1" ht="15" hidden="1" customHeight="1" x14ac:dyDescent="0.2">
      <c r="A102" s="18" t="s">
        <v>69</v>
      </c>
      <c r="B102" s="4" t="str">
        <f t="shared" ref="B102" si="42">C102</f>
        <v>V</v>
      </c>
      <c r="C102" s="17" t="s">
        <v>35</v>
      </c>
      <c r="D102" s="5" t="s">
        <v>40</v>
      </c>
      <c r="E102" s="5" t="s">
        <v>27</v>
      </c>
      <c r="F102" s="5" t="s">
        <v>41</v>
      </c>
      <c r="G102" s="5">
        <v>119</v>
      </c>
      <c r="H102" s="5">
        <v>125</v>
      </c>
      <c r="I102" s="5">
        <v>141</v>
      </c>
      <c r="J102" s="5">
        <v>105</v>
      </c>
      <c r="K102" s="5">
        <v>227</v>
      </c>
      <c r="L102" s="5">
        <v>202</v>
      </c>
      <c r="M102" s="6" t="s">
        <v>56</v>
      </c>
      <c r="N102" s="11">
        <v>115</v>
      </c>
      <c r="O102" s="11">
        <v>75</v>
      </c>
      <c r="P102" s="5">
        <v>681.6868702413509</v>
      </c>
      <c r="Q102" s="5">
        <v>15.489899635314941</v>
      </c>
      <c r="R102" s="5">
        <v>1.5489899635314943</v>
      </c>
      <c r="S102" s="5">
        <v>0.9640508171869866</v>
      </c>
      <c r="T102" s="5">
        <v>367.76688985724172</v>
      </c>
      <c r="U102" s="5">
        <v>4.5084161758422852</v>
      </c>
      <c r="V102" s="5">
        <v>0.45084161758422853</v>
      </c>
      <c r="W102" s="5">
        <v>5.1722755432128906</v>
      </c>
      <c r="X102" s="5">
        <v>2.4718666076660156</v>
      </c>
      <c r="Y102" s="5">
        <v>0.14820386469364166</v>
      </c>
      <c r="Z102" s="5">
        <v>5.4050545692443848</v>
      </c>
    </row>
    <row r="103" spans="1:26" s="4" customFormat="1" ht="15" hidden="1" customHeight="1" x14ac:dyDescent="0.2">
      <c r="A103" s="18"/>
      <c r="B103" s="4" t="str">
        <f t="shared" ref="B103" si="43">C102</f>
        <v>V</v>
      </c>
      <c r="C103" s="17"/>
      <c r="D103" s="14" t="s">
        <v>43</v>
      </c>
      <c r="E103" s="14" t="s">
        <v>31</v>
      </c>
      <c r="F103" s="14" t="s">
        <v>41</v>
      </c>
      <c r="G103" s="14">
        <v>70</v>
      </c>
      <c r="H103" s="14">
        <v>123</v>
      </c>
      <c r="I103" s="14">
        <v>139</v>
      </c>
      <c r="J103" s="14">
        <v>77</v>
      </c>
      <c r="K103" s="14">
        <v>228</v>
      </c>
      <c r="L103" s="14">
        <v>199</v>
      </c>
      <c r="M103" s="15" t="s">
        <v>47</v>
      </c>
      <c r="N103" s="16">
        <v>115</v>
      </c>
      <c r="O103" s="16">
        <v>75</v>
      </c>
      <c r="P103" s="14">
        <v>634.83018000000004</v>
      </c>
      <c r="Q103" s="14">
        <v>13.43364525</v>
      </c>
      <c r="R103" s="14">
        <v>1.3433645249999999</v>
      </c>
      <c r="S103" s="14">
        <v>0.89778544999999998</v>
      </c>
      <c r="T103" s="14">
        <v>355.9559261</v>
      </c>
      <c r="U103" s="14">
        <v>4.2234873769999997</v>
      </c>
      <c r="V103" s="14">
        <v>0.422348738</v>
      </c>
      <c r="W103" s="14">
        <v>5.0315017700000002</v>
      </c>
      <c r="X103" s="14">
        <v>1.8498497009999999</v>
      </c>
      <c r="Y103" s="14">
        <v>0.12508003400000001</v>
      </c>
      <c r="Z103" s="14">
        <v>5.8623633379999998</v>
      </c>
    </row>
    <row r="104" spans="1:26" s="4" customFormat="1" ht="15" hidden="1" customHeight="1" x14ac:dyDescent="0.2">
      <c r="A104" s="18" t="s">
        <v>66</v>
      </c>
      <c r="B104" s="4" t="str">
        <f t="shared" ref="B104" si="44">C104</f>
        <v>V</v>
      </c>
      <c r="C104" s="17" t="s">
        <v>35</v>
      </c>
      <c r="D104" s="5" t="s">
        <v>40</v>
      </c>
      <c r="E104" s="5" t="s">
        <v>27</v>
      </c>
      <c r="F104" s="5" t="s">
        <v>41</v>
      </c>
      <c r="G104" s="5">
        <v>119</v>
      </c>
      <c r="H104" s="5">
        <v>132</v>
      </c>
      <c r="I104" s="5">
        <v>141</v>
      </c>
      <c r="J104" s="5">
        <v>116</v>
      </c>
      <c r="K104" s="5">
        <v>236</v>
      </c>
      <c r="L104" s="5">
        <v>200</v>
      </c>
      <c r="M104" s="6" t="s">
        <v>29</v>
      </c>
      <c r="N104" s="7">
        <v>117</v>
      </c>
      <c r="O104" s="7">
        <v>75</v>
      </c>
      <c r="P104" s="5">
        <v>744.97212249006577</v>
      </c>
      <c r="Q104" s="5">
        <v>18.499448776245117</v>
      </c>
      <c r="R104" s="5">
        <v>1.8499448776245118</v>
      </c>
      <c r="S104" s="5">
        <v>1.0535496792153216</v>
      </c>
      <c r="T104" s="5">
        <v>390.10773857868372</v>
      </c>
      <c r="U104" s="5">
        <v>5.0728015899658203</v>
      </c>
      <c r="V104" s="5">
        <v>0.50728015899658208</v>
      </c>
      <c r="W104" s="5">
        <v>4.3296051025390625</v>
      </c>
      <c r="X104" s="5">
        <v>0.735198974609375</v>
      </c>
      <c r="Y104" s="5">
        <v>5.400419607758522E-2</v>
      </c>
      <c r="Z104" s="5">
        <v>6.1877455711364746</v>
      </c>
    </row>
    <row r="105" spans="1:26" s="4" customFormat="1" ht="15" hidden="1" customHeight="1" x14ac:dyDescent="0.2">
      <c r="A105" s="18"/>
      <c r="B105" s="4" t="str">
        <f t="shared" ref="B105" si="45">C104</f>
        <v>V</v>
      </c>
      <c r="C105" s="17"/>
      <c r="D105" s="5" t="s">
        <v>43</v>
      </c>
      <c r="E105" s="5" t="s">
        <v>31</v>
      </c>
      <c r="F105" s="5" t="s">
        <v>41</v>
      </c>
      <c r="G105" s="5">
        <v>69</v>
      </c>
      <c r="H105" s="5">
        <v>130</v>
      </c>
      <c r="I105" s="5">
        <v>139</v>
      </c>
      <c r="J105" s="5">
        <v>65</v>
      </c>
      <c r="K105" s="5">
        <v>230</v>
      </c>
      <c r="L105" s="5">
        <v>206</v>
      </c>
      <c r="M105" s="6" t="s">
        <v>44</v>
      </c>
      <c r="N105" s="7">
        <v>118</v>
      </c>
      <c r="O105" s="7">
        <v>75</v>
      </c>
      <c r="P105" s="5">
        <v>601.72793008660767</v>
      </c>
      <c r="Q105" s="5">
        <v>12.069216728210449</v>
      </c>
      <c r="R105" s="5">
        <v>1.206921672821045</v>
      </c>
      <c r="S105" s="5">
        <v>0.85097179958717006</v>
      </c>
      <c r="T105" s="5">
        <v>372.50923759732041</v>
      </c>
      <c r="U105" s="5">
        <v>4.6254377365112305</v>
      </c>
      <c r="V105" s="5">
        <v>0.46254377365112309</v>
      </c>
      <c r="W105" s="5">
        <v>5.193695068359375</v>
      </c>
      <c r="X105" s="5">
        <v>0.81198501586914062</v>
      </c>
      <c r="Y105" s="5">
        <v>0.14379379153251648</v>
      </c>
      <c r="Z105" s="5">
        <v>5.6067843437194824</v>
      </c>
    </row>
    <row r="106" spans="1:26" s="4" customFormat="1" ht="15" customHeight="1" x14ac:dyDescent="0.2">
      <c r="A106" s="18" t="s">
        <v>70</v>
      </c>
      <c r="B106" s="4" t="str">
        <f t="shared" ref="B106" si="46">C106</f>
        <v>L</v>
      </c>
      <c r="C106" s="17" t="s">
        <v>25</v>
      </c>
      <c r="D106" s="5" t="s">
        <v>26</v>
      </c>
      <c r="E106" s="5" t="s">
        <v>27</v>
      </c>
      <c r="F106" s="5" t="s">
        <v>28</v>
      </c>
      <c r="G106" s="5">
        <v>134</v>
      </c>
      <c r="H106" s="5">
        <v>114</v>
      </c>
      <c r="I106" s="5">
        <v>194</v>
      </c>
      <c r="J106" s="5">
        <v>171</v>
      </c>
      <c r="K106" s="5">
        <v>100</v>
      </c>
      <c r="L106" s="5">
        <v>223</v>
      </c>
      <c r="M106" s="6" t="s">
        <v>38</v>
      </c>
      <c r="N106" s="7">
        <v>40.299999999999997</v>
      </c>
      <c r="O106" s="7">
        <v>65</v>
      </c>
      <c r="P106" s="5">
        <v>561.23744415308067</v>
      </c>
      <c r="Q106" s="5">
        <v>10.499582290649414</v>
      </c>
      <c r="R106" s="5">
        <v>1.0499582290649414</v>
      </c>
      <c r="S106" s="5">
        <v>0.79370960523289913</v>
      </c>
      <c r="T106" s="5">
        <v>480.40215751836843</v>
      </c>
      <c r="U106" s="5">
        <v>7.6928744316101074</v>
      </c>
      <c r="V106" s="5">
        <v>0.76928744316101083</v>
      </c>
      <c r="W106" s="5">
        <v>2.9075775146484375</v>
      </c>
      <c r="X106" s="5">
        <v>0.7025299072265625</v>
      </c>
      <c r="Y106" s="5">
        <v>1.1012236587703228E-2</v>
      </c>
      <c r="Z106" s="5">
        <v>7.6928744316101074</v>
      </c>
    </row>
    <row r="107" spans="1:26" s="4" customFormat="1" ht="15" customHeight="1" x14ac:dyDescent="0.2">
      <c r="A107" s="18"/>
      <c r="B107" s="4" t="str">
        <f t="shared" ref="B107" si="47">C106</f>
        <v>L</v>
      </c>
      <c r="C107" s="17"/>
      <c r="D107" s="5" t="s">
        <v>32</v>
      </c>
      <c r="E107" s="5" t="s">
        <v>27</v>
      </c>
      <c r="F107" s="5" t="s">
        <v>28</v>
      </c>
      <c r="G107" s="5">
        <v>135</v>
      </c>
      <c r="H107" s="5">
        <v>119</v>
      </c>
      <c r="I107" s="5">
        <v>194</v>
      </c>
      <c r="J107" s="5">
        <v>174</v>
      </c>
      <c r="K107" s="5">
        <v>108</v>
      </c>
      <c r="L107" s="5">
        <v>224</v>
      </c>
      <c r="M107" s="6" t="s">
        <v>38</v>
      </c>
      <c r="N107" s="7">
        <v>40.299999999999997</v>
      </c>
      <c r="O107" s="7">
        <v>65</v>
      </c>
      <c r="P107" s="5">
        <v>604.13521081877843</v>
      </c>
      <c r="Q107" s="5">
        <v>12.16597843170166</v>
      </c>
      <c r="R107" s="5">
        <v>1.2165978431701661</v>
      </c>
      <c r="S107" s="5">
        <v>0.85437620864704544</v>
      </c>
      <c r="T107" s="5">
        <v>472.09984683418332</v>
      </c>
      <c r="U107" s="5">
        <v>7.4292755126953125</v>
      </c>
      <c r="V107" s="5">
        <v>0.74292755126953125</v>
      </c>
      <c r="W107" s="5">
        <v>4.3760299682617188</v>
      </c>
      <c r="X107" s="5">
        <v>1.1735649108886719</v>
      </c>
      <c r="Y107" s="5">
        <v>7.2804532945156097E-2</v>
      </c>
      <c r="Z107" s="5">
        <v>7.4292755126953125</v>
      </c>
    </row>
    <row r="108" spans="1:26" s="4" customFormat="1" ht="15" customHeight="1" x14ac:dyDescent="0.2">
      <c r="A108" s="18"/>
      <c r="B108" s="4" t="s">
        <v>25</v>
      </c>
      <c r="C108" s="17"/>
      <c r="D108" s="5" t="s">
        <v>30</v>
      </c>
      <c r="E108" s="5" t="s">
        <v>31</v>
      </c>
      <c r="F108" s="5" t="s">
        <v>28</v>
      </c>
      <c r="G108" s="5">
        <v>59</v>
      </c>
      <c r="H108" s="5">
        <v>117</v>
      </c>
      <c r="I108" s="5">
        <v>191</v>
      </c>
      <c r="J108" s="5">
        <v>17</v>
      </c>
      <c r="K108" s="5">
        <v>104</v>
      </c>
      <c r="L108" s="5">
        <v>222</v>
      </c>
      <c r="M108" s="6" t="s">
        <v>38</v>
      </c>
      <c r="N108" s="7">
        <v>42</v>
      </c>
      <c r="O108" s="7">
        <v>65</v>
      </c>
      <c r="P108" s="5">
        <v>569.57055729357864</v>
      </c>
      <c r="Q108" s="5">
        <v>10.813687324523926</v>
      </c>
      <c r="R108" s="5">
        <v>1.0813687324523926</v>
      </c>
      <c r="S108" s="5">
        <v>0.8054944068529809</v>
      </c>
      <c r="T108" s="5">
        <v>509.40105160985445</v>
      </c>
      <c r="U108" s="5">
        <v>8.6496477127075195</v>
      </c>
      <c r="V108" s="5">
        <v>0.864964771270752</v>
      </c>
      <c r="W108" s="5">
        <v>4.3760337829589844</v>
      </c>
      <c r="X108" s="5">
        <v>1.6216163635253906</v>
      </c>
      <c r="Y108" s="5">
        <v>7.4896559119224548E-2</v>
      </c>
      <c r="Z108" s="5">
        <v>8.6496477127075195</v>
      </c>
    </row>
    <row r="109" spans="1:26" s="4" customFormat="1" ht="15" customHeight="1" x14ac:dyDescent="0.2">
      <c r="A109" s="18"/>
      <c r="B109" s="4" t="s">
        <v>25</v>
      </c>
      <c r="C109" s="17"/>
      <c r="D109" s="5" t="s">
        <v>33</v>
      </c>
      <c r="E109" s="5" t="s">
        <v>31</v>
      </c>
      <c r="F109" s="5" t="s">
        <v>28</v>
      </c>
      <c r="G109" s="5">
        <v>59</v>
      </c>
      <c r="H109" s="5">
        <v>124</v>
      </c>
      <c r="I109" s="5">
        <v>193</v>
      </c>
      <c r="J109" s="5">
        <v>18</v>
      </c>
      <c r="K109" s="5">
        <v>115</v>
      </c>
      <c r="L109" s="5">
        <v>227</v>
      </c>
      <c r="M109" s="6" t="s">
        <v>38</v>
      </c>
      <c r="N109" s="7">
        <v>42.3</v>
      </c>
      <c r="O109" s="7">
        <v>65</v>
      </c>
      <c r="P109" s="5">
        <v>548.75854485534694</v>
      </c>
      <c r="Q109" s="5">
        <v>10.037864685058594</v>
      </c>
      <c r="R109" s="5">
        <v>1.0037864685058595</v>
      </c>
      <c r="S109" s="5">
        <v>0.77606177660255604</v>
      </c>
      <c r="T109" s="5">
        <v>483.20970214709524</v>
      </c>
      <c r="U109" s="5">
        <v>7.7830538749694824</v>
      </c>
      <c r="V109" s="5">
        <v>0.77830538749694833</v>
      </c>
      <c r="W109" s="5">
        <v>4.3760337829589844</v>
      </c>
      <c r="X109" s="5">
        <v>2.3945884704589844</v>
      </c>
      <c r="Y109" s="5">
        <v>7.620944082736969E-2</v>
      </c>
      <c r="Z109" s="5">
        <v>7.7830538749694824</v>
      </c>
    </row>
    <row r="110" spans="1:26" s="4" customFormat="1" ht="15" hidden="1" customHeight="1" x14ac:dyDescent="0.2">
      <c r="A110" s="18" t="s">
        <v>67</v>
      </c>
      <c r="B110" s="4" t="str">
        <f t="shared" ref="B110" si="48">C110</f>
        <v>V</v>
      </c>
      <c r="C110" s="17" t="s">
        <v>35</v>
      </c>
      <c r="D110" s="5" t="s">
        <v>40</v>
      </c>
      <c r="E110" s="5" t="s">
        <v>27</v>
      </c>
      <c r="F110" s="5" t="s">
        <v>71</v>
      </c>
      <c r="G110" s="5">
        <v>121</v>
      </c>
      <c r="H110" s="5">
        <v>132</v>
      </c>
      <c r="I110" s="5">
        <v>130</v>
      </c>
      <c r="J110" s="5">
        <v>125</v>
      </c>
      <c r="K110" s="5">
        <v>232</v>
      </c>
      <c r="L110" s="5">
        <v>180</v>
      </c>
      <c r="M110" s="6" t="s">
        <v>62</v>
      </c>
      <c r="N110" s="7">
        <v>108</v>
      </c>
      <c r="O110" s="7">
        <v>75</v>
      </c>
      <c r="P110" s="5">
        <v>711.85550652960023</v>
      </c>
      <c r="Q110" s="5">
        <v>16.891275405883789</v>
      </c>
      <c r="R110" s="5">
        <v>1.689127540588379</v>
      </c>
      <c r="S110" s="5">
        <v>1.0067157117841299</v>
      </c>
      <c r="T110" s="5">
        <v>377.77664279455593</v>
      </c>
      <c r="U110" s="5">
        <v>4.7571730613708496</v>
      </c>
      <c r="V110" s="5">
        <v>0.47571730613708496</v>
      </c>
      <c r="W110" s="5">
        <v>5.1791419982910156</v>
      </c>
      <c r="X110" s="5">
        <v>1.4830551147460938</v>
      </c>
      <c r="Y110" s="5">
        <v>0.13625961542129517</v>
      </c>
      <c r="Z110" s="5">
        <v>5.0970664024353027</v>
      </c>
    </row>
    <row r="111" spans="1:26" s="4" customFormat="1" ht="15" hidden="1" customHeight="1" x14ac:dyDescent="0.2">
      <c r="A111" s="18"/>
      <c r="B111" s="4" t="str">
        <f t="shared" ref="B111" si="49">C110</f>
        <v>V</v>
      </c>
      <c r="C111" s="17"/>
      <c r="D111" s="5" t="s">
        <v>43</v>
      </c>
      <c r="E111" s="5" t="s">
        <v>31</v>
      </c>
      <c r="F111" s="5" t="s">
        <v>71</v>
      </c>
      <c r="G111" s="5">
        <v>70</v>
      </c>
      <c r="H111" s="5">
        <v>127</v>
      </c>
      <c r="I111" s="5">
        <v>127</v>
      </c>
      <c r="J111" s="5">
        <v>65</v>
      </c>
      <c r="K111" s="5">
        <v>220</v>
      </c>
      <c r="L111" s="5">
        <v>204</v>
      </c>
      <c r="M111" s="6" t="s">
        <v>72</v>
      </c>
      <c r="N111" s="7">
        <v>117</v>
      </c>
      <c r="O111" s="7">
        <v>75</v>
      </c>
      <c r="P111" s="5">
        <v>716.80650751361566</v>
      </c>
      <c r="Q111" s="5">
        <v>17.127052307128906</v>
      </c>
      <c r="R111" s="5">
        <v>1.7127052307128907</v>
      </c>
      <c r="S111" s="5">
        <v>1.013717484523047</v>
      </c>
      <c r="T111" s="5">
        <v>328.23136921616481</v>
      </c>
      <c r="U111" s="5">
        <v>3.5911943912506104</v>
      </c>
      <c r="V111" s="5">
        <v>0.35911943912506106</v>
      </c>
      <c r="W111" s="5">
        <v>5.5967178344726562</v>
      </c>
      <c r="X111" s="5">
        <v>2.2971687316894531</v>
      </c>
      <c r="Y111" s="5">
        <v>0.21725665032863617</v>
      </c>
      <c r="Z111" s="5">
        <v>3.5911943912506104</v>
      </c>
    </row>
    <row r="112" spans="1:26" s="4" customFormat="1" ht="15" hidden="1" customHeight="1" x14ac:dyDescent="0.2">
      <c r="A112" s="18" t="s">
        <v>70</v>
      </c>
      <c r="B112" s="4" t="str">
        <f t="shared" ref="B112" si="50">C112</f>
        <v>V</v>
      </c>
      <c r="C112" s="17" t="s">
        <v>35</v>
      </c>
      <c r="D112" s="5" t="s">
        <v>40</v>
      </c>
      <c r="E112" s="5" t="s">
        <v>27</v>
      </c>
      <c r="F112" s="5" t="s">
        <v>41</v>
      </c>
      <c r="G112" s="5">
        <v>117</v>
      </c>
      <c r="H112" s="5">
        <v>135</v>
      </c>
      <c r="I112" s="5">
        <v>142</v>
      </c>
      <c r="J112" s="5">
        <v>112</v>
      </c>
      <c r="K112" s="5">
        <v>244</v>
      </c>
      <c r="L112" s="5">
        <v>202</v>
      </c>
      <c r="M112" s="6" t="s">
        <v>54</v>
      </c>
      <c r="N112" s="7">
        <v>119</v>
      </c>
      <c r="O112" s="7">
        <v>75</v>
      </c>
      <c r="P112" s="5">
        <v>845.75333866877804</v>
      </c>
      <c r="Q112" s="5">
        <v>23.843290328979492</v>
      </c>
      <c r="R112" s="5">
        <v>2.3843290328979494</v>
      </c>
      <c r="S112" s="5">
        <v>1.1960758419677113</v>
      </c>
      <c r="T112" s="5">
        <v>327.25959005503489</v>
      </c>
      <c r="U112" s="5">
        <v>3.5699613094329834</v>
      </c>
      <c r="V112" s="5">
        <v>0.35699613094329835</v>
      </c>
      <c r="W112" s="5">
        <v>4.9901618957519531</v>
      </c>
      <c r="X112" s="5">
        <v>1.2937736511230469</v>
      </c>
      <c r="Y112" s="5">
        <v>0.11712717264890671</v>
      </c>
      <c r="Z112" s="5">
        <v>4.4072585105895996</v>
      </c>
    </row>
    <row r="113" spans="1:26" s="4" customFormat="1" ht="15" hidden="1" customHeight="1" x14ac:dyDescent="0.2">
      <c r="A113" s="18"/>
      <c r="B113" s="4" t="str">
        <f t="shared" ref="B113" si="51">C112</f>
        <v>V</v>
      </c>
      <c r="C113" s="17"/>
      <c r="D113" s="5" t="s">
        <v>43</v>
      </c>
      <c r="E113" s="5" t="s">
        <v>31</v>
      </c>
      <c r="F113" s="5" t="s">
        <v>41</v>
      </c>
      <c r="G113" s="5">
        <v>74</v>
      </c>
      <c r="H113" s="5">
        <v>136</v>
      </c>
      <c r="I113" s="5">
        <v>143</v>
      </c>
      <c r="J113" s="5">
        <v>71</v>
      </c>
      <c r="K113" s="5">
        <v>245</v>
      </c>
      <c r="L113" s="5">
        <v>197</v>
      </c>
      <c r="M113" s="6" t="s">
        <v>44</v>
      </c>
      <c r="N113" s="7">
        <v>117</v>
      </c>
      <c r="O113" s="7">
        <v>75</v>
      </c>
      <c r="P113" s="5">
        <v>817.2836801445178</v>
      </c>
      <c r="Q113" s="5">
        <v>22.265087127685547</v>
      </c>
      <c r="R113" s="5">
        <v>2.2265087127685548</v>
      </c>
      <c r="S113" s="5">
        <v>1.1558136647665715</v>
      </c>
      <c r="T113" s="5">
        <v>406.50505862308432</v>
      </c>
      <c r="U113" s="5">
        <v>5.5082120895385742</v>
      </c>
      <c r="V113" s="5">
        <v>0.55082120895385744</v>
      </c>
      <c r="W113" s="5">
        <v>4.8591079711914062</v>
      </c>
      <c r="X113" s="5">
        <v>1.4078178405761719</v>
      </c>
      <c r="Y113" s="5">
        <v>0.10087849199771881</v>
      </c>
      <c r="Z113" s="5">
        <v>6.6247339248657227</v>
      </c>
    </row>
    <row r="114" spans="1:26" s="4" customFormat="1" ht="15" customHeight="1" x14ac:dyDescent="0.2">
      <c r="A114" s="18" t="s">
        <v>68</v>
      </c>
      <c r="B114" s="4" t="str">
        <f t="shared" ref="B114" si="52">C114</f>
        <v>L</v>
      </c>
      <c r="C114" s="17" t="s">
        <v>25</v>
      </c>
      <c r="D114" s="5" t="s">
        <v>26</v>
      </c>
      <c r="E114" s="5" t="s">
        <v>27</v>
      </c>
      <c r="F114" s="5" t="s">
        <v>28</v>
      </c>
      <c r="G114" s="5">
        <v>132</v>
      </c>
      <c r="H114" s="5">
        <v>117</v>
      </c>
      <c r="I114" s="5">
        <v>193</v>
      </c>
      <c r="J114" s="5">
        <v>175</v>
      </c>
      <c r="K114" s="5">
        <v>103</v>
      </c>
      <c r="L114" s="5">
        <v>212</v>
      </c>
      <c r="M114" s="6" t="s">
        <v>38</v>
      </c>
      <c r="N114" s="7">
        <v>40.299999999999997</v>
      </c>
      <c r="O114" s="7">
        <v>65</v>
      </c>
      <c r="P114" s="5">
        <v>667.28707850182298</v>
      </c>
      <c r="Q114" s="5">
        <v>14.842401504516602</v>
      </c>
      <c r="R114" s="5">
        <v>1.4842401504516602</v>
      </c>
      <c r="S114" s="5">
        <v>0.94368643641359817</v>
      </c>
      <c r="T114" s="5">
        <v>439.69571754568534</v>
      </c>
      <c r="U114" s="5">
        <v>6.4444108009338379</v>
      </c>
      <c r="V114" s="5">
        <v>0.64444108009338386</v>
      </c>
      <c r="W114" s="5">
        <v>3.6543960571289062</v>
      </c>
      <c r="X114" s="5">
        <v>0.88997268676757812</v>
      </c>
      <c r="Y114" s="5">
        <v>2.5145770981907845E-2</v>
      </c>
      <c r="Z114" s="5">
        <v>6.4444108009338379</v>
      </c>
    </row>
    <row r="115" spans="1:26" s="4" customFormat="1" ht="15" customHeight="1" x14ac:dyDescent="0.2">
      <c r="A115" s="18"/>
      <c r="B115" s="4" t="str">
        <f t="shared" ref="B115" si="53">C114</f>
        <v>L</v>
      </c>
      <c r="C115" s="17"/>
      <c r="D115" s="5" t="s">
        <v>32</v>
      </c>
      <c r="E115" s="5" t="s">
        <v>27</v>
      </c>
      <c r="F115" s="5" t="s">
        <v>28</v>
      </c>
      <c r="G115" s="5">
        <v>133</v>
      </c>
      <c r="H115" s="5">
        <v>122</v>
      </c>
      <c r="I115" s="5">
        <v>193</v>
      </c>
      <c r="J115" s="5">
        <v>177</v>
      </c>
      <c r="K115" s="5">
        <v>111</v>
      </c>
      <c r="L115" s="5">
        <v>212</v>
      </c>
      <c r="M115" s="6" t="s">
        <v>38</v>
      </c>
      <c r="N115" s="7">
        <v>40.299999999999997</v>
      </c>
      <c r="O115" s="7">
        <v>65</v>
      </c>
      <c r="P115" s="5">
        <v>666.31848382298028</v>
      </c>
      <c r="Q115" s="5">
        <v>14.799344062805176</v>
      </c>
      <c r="R115" s="5">
        <v>1.4799344062805178</v>
      </c>
      <c r="S115" s="5">
        <v>0.94231663668233645</v>
      </c>
      <c r="T115" s="5">
        <v>464.54487400497106</v>
      </c>
      <c r="U115" s="5">
        <v>7.1933979988098145</v>
      </c>
      <c r="V115" s="5">
        <v>0.71933979988098151</v>
      </c>
      <c r="W115" s="5">
        <v>3.6543960571289062</v>
      </c>
      <c r="X115" s="5">
        <v>1.1131324768066406</v>
      </c>
      <c r="Y115" s="5">
        <v>3.3176403492689133E-2</v>
      </c>
      <c r="Z115" s="5">
        <v>7.1933979988098145</v>
      </c>
    </row>
    <row r="116" spans="1:26" s="4" customFormat="1" ht="15" customHeight="1" x14ac:dyDescent="0.2">
      <c r="A116" s="18"/>
      <c r="B116" s="4" t="s">
        <v>25</v>
      </c>
      <c r="C116" s="17"/>
      <c r="D116" s="5" t="s">
        <v>30</v>
      </c>
      <c r="E116" s="5" t="s">
        <v>31</v>
      </c>
      <c r="F116" s="5" t="s">
        <v>28</v>
      </c>
      <c r="G116" s="5">
        <v>62</v>
      </c>
      <c r="H116" s="5">
        <v>120</v>
      </c>
      <c r="I116" s="5">
        <v>192</v>
      </c>
      <c r="J116" s="5">
        <v>15</v>
      </c>
      <c r="K116" s="5">
        <v>109</v>
      </c>
      <c r="L116" s="5">
        <v>214</v>
      </c>
      <c r="M116" s="6" t="s">
        <v>38</v>
      </c>
      <c r="N116" s="7">
        <v>40.700000000000003</v>
      </c>
      <c r="O116" s="7">
        <v>65</v>
      </c>
      <c r="P116" s="5">
        <v>684.69540137463628</v>
      </c>
      <c r="Q116" s="5">
        <v>15.626926422119141</v>
      </c>
      <c r="R116" s="5">
        <v>1.5626926422119141</v>
      </c>
      <c r="S116" s="5">
        <v>0.96830552271850046</v>
      </c>
      <c r="T116" s="5">
        <v>454.51257231291521</v>
      </c>
      <c r="U116" s="5">
        <v>6.8860559463500977</v>
      </c>
      <c r="V116" s="5">
        <v>0.68860559463500981</v>
      </c>
      <c r="W116" s="5">
        <v>4.17291259765625</v>
      </c>
      <c r="X116" s="5">
        <v>2.8308830261230469</v>
      </c>
      <c r="Y116" s="5">
        <v>4.7424104064702988E-2</v>
      </c>
      <c r="Z116" s="5">
        <v>6.8860559463500977</v>
      </c>
    </row>
    <row r="117" spans="1:26" s="4" customFormat="1" ht="15" customHeight="1" x14ac:dyDescent="0.2">
      <c r="A117" s="18"/>
      <c r="B117" s="4" t="s">
        <v>25</v>
      </c>
      <c r="C117" s="17"/>
      <c r="D117" s="5" t="s">
        <v>33</v>
      </c>
      <c r="E117" s="5" t="s">
        <v>31</v>
      </c>
      <c r="F117" s="5" t="s">
        <v>28</v>
      </c>
      <c r="G117" s="5">
        <v>61</v>
      </c>
      <c r="H117" s="5">
        <v>126</v>
      </c>
      <c r="I117" s="5">
        <v>192</v>
      </c>
      <c r="J117" s="5">
        <v>15</v>
      </c>
      <c r="K117" s="5">
        <v>117</v>
      </c>
      <c r="L117" s="5">
        <v>219</v>
      </c>
      <c r="M117" s="6" t="s">
        <v>38</v>
      </c>
      <c r="N117" s="7">
        <v>43.1</v>
      </c>
      <c r="O117" s="7">
        <v>65</v>
      </c>
      <c r="P117" s="5">
        <v>716.75725260891534</v>
      </c>
      <c r="Q117" s="5">
        <v>17.124698638916016</v>
      </c>
      <c r="R117" s="5">
        <v>1.7124698638916016</v>
      </c>
      <c r="S117" s="5">
        <v>1.0136478275688066</v>
      </c>
      <c r="T117" s="5">
        <v>476.06020111574622</v>
      </c>
      <c r="U117" s="5">
        <v>7.5544438362121582</v>
      </c>
      <c r="V117" s="5">
        <v>0.75544438362121591</v>
      </c>
      <c r="W117" s="5">
        <v>4.6526985168457031</v>
      </c>
      <c r="X117" s="5">
        <v>2.8308677673339844</v>
      </c>
      <c r="Y117" s="5">
        <v>9.804835170507431E-2</v>
      </c>
      <c r="Z117" s="5">
        <v>7.5544438362121582</v>
      </c>
    </row>
    <row r="118" spans="1:26" s="4" customFormat="1" ht="15" customHeight="1" x14ac:dyDescent="0.2">
      <c r="A118" s="18" t="s">
        <v>69</v>
      </c>
      <c r="B118" s="4" t="str">
        <f t="shared" ref="B118" si="54">C118</f>
        <v>L</v>
      </c>
      <c r="C118" s="17" t="s">
        <v>25</v>
      </c>
      <c r="D118" s="5" t="s">
        <v>26</v>
      </c>
      <c r="E118" s="5" t="s">
        <v>27</v>
      </c>
      <c r="F118" s="5" t="s">
        <v>28</v>
      </c>
      <c r="G118" s="5">
        <v>134</v>
      </c>
      <c r="H118" s="5">
        <v>101</v>
      </c>
      <c r="I118" s="5">
        <v>187</v>
      </c>
      <c r="J118" s="5">
        <v>171</v>
      </c>
      <c r="K118" s="5">
        <v>89</v>
      </c>
      <c r="L118" s="5">
        <v>215</v>
      </c>
      <c r="M118" s="6" t="s">
        <v>64</v>
      </c>
      <c r="N118" s="7">
        <v>45</v>
      </c>
      <c r="O118" s="7">
        <v>65</v>
      </c>
      <c r="P118" s="5">
        <v>695.34534848232488</v>
      </c>
      <c r="Q118" s="5">
        <v>16.116838455200195</v>
      </c>
      <c r="R118" s="5">
        <v>1.6116838455200195</v>
      </c>
      <c r="S118" s="5">
        <v>0.98336682235674988</v>
      </c>
      <c r="T118" s="5">
        <v>402.41274343982161</v>
      </c>
      <c r="U118" s="5">
        <v>5.3978672027587891</v>
      </c>
      <c r="V118" s="5">
        <v>0.53978672027587893</v>
      </c>
      <c r="W118" s="5">
        <v>4.296875</v>
      </c>
      <c r="X118" s="5">
        <v>1.9775581359863281</v>
      </c>
      <c r="Y118" s="5">
        <v>5.2733901888132095E-2</v>
      </c>
      <c r="Z118" s="5">
        <v>5.3978672027587891</v>
      </c>
    </row>
    <row r="119" spans="1:26" s="4" customFormat="1" ht="15" customHeight="1" x14ac:dyDescent="0.2">
      <c r="A119" s="18"/>
      <c r="B119" s="4" t="str">
        <f t="shared" ref="B119" si="55">C118</f>
        <v>L</v>
      </c>
      <c r="C119" s="17"/>
      <c r="D119" s="5" t="s">
        <v>32</v>
      </c>
      <c r="E119" s="5" t="s">
        <v>27</v>
      </c>
      <c r="F119" s="5" t="s">
        <v>28</v>
      </c>
      <c r="G119" s="5">
        <v>133</v>
      </c>
      <c r="H119" s="5">
        <v>106</v>
      </c>
      <c r="I119" s="5">
        <v>188</v>
      </c>
      <c r="J119" s="5">
        <v>171</v>
      </c>
      <c r="K119" s="5">
        <v>95</v>
      </c>
      <c r="L119" s="5">
        <v>217</v>
      </c>
      <c r="M119" s="6" t="s">
        <v>64</v>
      </c>
      <c r="N119" s="7">
        <v>45</v>
      </c>
      <c r="O119" s="7">
        <v>65</v>
      </c>
      <c r="P119" s="5">
        <v>771.10829441070359</v>
      </c>
      <c r="Q119" s="5">
        <v>19.820266723632812</v>
      </c>
      <c r="R119" s="5">
        <v>1.9820266723632813</v>
      </c>
      <c r="S119" s="5">
        <v>1.0905118080140024</v>
      </c>
      <c r="T119" s="5">
        <v>346.07024791133142</v>
      </c>
      <c r="U119" s="5">
        <v>3.9921538829803467</v>
      </c>
      <c r="V119" s="5">
        <v>0.39921538829803471</v>
      </c>
      <c r="W119" s="5">
        <v>4.4341239929199219</v>
      </c>
      <c r="X119" s="5">
        <v>1.4420013427734375</v>
      </c>
      <c r="Y119" s="5">
        <v>6.2750622630119324E-2</v>
      </c>
      <c r="Z119" s="5">
        <v>4.027461051940918</v>
      </c>
    </row>
    <row r="120" spans="1:26" s="4" customFormat="1" ht="15" customHeight="1" x14ac:dyDescent="0.2">
      <c r="A120" s="18"/>
      <c r="B120" s="4" t="s">
        <v>25</v>
      </c>
      <c r="C120" s="17"/>
      <c r="D120" s="5" t="s">
        <v>30</v>
      </c>
      <c r="E120" s="5" t="s">
        <v>31</v>
      </c>
      <c r="F120" s="5" t="s">
        <v>28</v>
      </c>
      <c r="G120" s="5">
        <v>57</v>
      </c>
      <c r="H120" s="5">
        <v>97</v>
      </c>
      <c r="I120" s="5">
        <v>183</v>
      </c>
      <c r="J120" s="5">
        <v>14</v>
      </c>
      <c r="K120" s="5">
        <v>85</v>
      </c>
      <c r="L120" s="5">
        <v>212</v>
      </c>
      <c r="M120" s="6" t="s">
        <v>38</v>
      </c>
      <c r="N120" s="7">
        <v>41.9</v>
      </c>
      <c r="O120" s="7">
        <v>65</v>
      </c>
      <c r="P120" s="5">
        <v>484.19656235562974</v>
      </c>
      <c r="Q120" s="5">
        <v>7.8148770332336426</v>
      </c>
      <c r="R120" s="5">
        <v>0.78148770332336426</v>
      </c>
      <c r="S120" s="5">
        <v>0.68475734533776156</v>
      </c>
      <c r="T120" s="5">
        <v>400.45629344295344</v>
      </c>
      <c r="U120" s="5">
        <v>5.3455080986022949</v>
      </c>
      <c r="V120" s="5">
        <v>0.53455080986022951</v>
      </c>
      <c r="W120" s="5">
        <v>3.2842369079589844</v>
      </c>
      <c r="X120" s="5">
        <v>2.3918724060058594</v>
      </c>
      <c r="Y120" s="5">
        <v>1.6390280798077583E-2</v>
      </c>
      <c r="Z120" s="5">
        <v>5.3455080986022949</v>
      </c>
    </row>
    <row r="121" spans="1:26" s="4" customFormat="1" ht="15" customHeight="1" x14ac:dyDescent="0.2">
      <c r="A121" s="18"/>
      <c r="B121" s="4" t="s">
        <v>25</v>
      </c>
      <c r="C121" s="17"/>
      <c r="D121" s="5" t="s">
        <v>33</v>
      </c>
      <c r="E121" s="5" t="s">
        <v>31</v>
      </c>
      <c r="F121" s="5" t="s">
        <v>28</v>
      </c>
      <c r="G121" s="5">
        <v>58</v>
      </c>
      <c r="H121" s="5">
        <v>102</v>
      </c>
      <c r="I121" s="5">
        <v>186</v>
      </c>
      <c r="J121" s="5">
        <v>16</v>
      </c>
      <c r="K121" s="5">
        <v>90</v>
      </c>
      <c r="L121" s="5">
        <v>218</v>
      </c>
      <c r="M121" s="6" t="s">
        <v>38</v>
      </c>
      <c r="N121" s="7">
        <v>42.5</v>
      </c>
      <c r="O121" s="7">
        <v>65</v>
      </c>
      <c r="P121" s="5">
        <v>497.39358578585251</v>
      </c>
      <c r="Q121" s="5">
        <v>8.2466793060302734</v>
      </c>
      <c r="R121" s="5">
        <v>0.82466793060302734</v>
      </c>
      <c r="S121" s="5">
        <v>0.70342075485573807</v>
      </c>
      <c r="T121" s="5">
        <v>402.25251283684622</v>
      </c>
      <c r="U121" s="5">
        <v>5.3935694694519043</v>
      </c>
      <c r="V121" s="5">
        <v>0.53935694694519043</v>
      </c>
      <c r="W121" s="5">
        <v>3.6471099853515625</v>
      </c>
      <c r="X121" s="5">
        <v>3.0660133361816406</v>
      </c>
      <c r="Y121" s="5">
        <v>3.7724431604146957E-2</v>
      </c>
      <c r="Z121" s="5">
        <v>5.3935694694519043</v>
      </c>
    </row>
  </sheetData>
  <autoFilter ref="A1:Z121" xr:uid="{9329294F-D433-5044-AF7E-0B27964EECE5}">
    <filterColumn colId="1">
      <filters>
        <filter val="L"/>
      </filters>
    </filterColumn>
  </autoFilter>
  <mergeCells count="80">
    <mergeCell ref="A12:A15"/>
    <mergeCell ref="A2:A3"/>
    <mergeCell ref="A10:A11"/>
    <mergeCell ref="A6:A9"/>
    <mergeCell ref="A4:A5"/>
    <mergeCell ref="A28:A31"/>
    <mergeCell ref="A24:A27"/>
    <mergeCell ref="A22:A23"/>
    <mergeCell ref="A20:A21"/>
    <mergeCell ref="A16:A19"/>
    <mergeCell ref="A42:A45"/>
    <mergeCell ref="A40:A41"/>
    <mergeCell ref="A38:A39"/>
    <mergeCell ref="A34:A37"/>
    <mergeCell ref="A32:A33"/>
    <mergeCell ref="A58:A61"/>
    <mergeCell ref="A56:A57"/>
    <mergeCell ref="A54:A55"/>
    <mergeCell ref="A50:A53"/>
    <mergeCell ref="A46:A49"/>
    <mergeCell ref="A76:A77"/>
    <mergeCell ref="A72:A75"/>
    <mergeCell ref="A70:A71"/>
    <mergeCell ref="A66:A69"/>
    <mergeCell ref="A62:A65"/>
    <mergeCell ref="A88:A91"/>
    <mergeCell ref="A84:A87"/>
    <mergeCell ref="A82:A83"/>
    <mergeCell ref="A80:A81"/>
    <mergeCell ref="A78:A79"/>
    <mergeCell ref="A104:A105"/>
    <mergeCell ref="A102:A103"/>
    <mergeCell ref="A98:A101"/>
    <mergeCell ref="A96:A97"/>
    <mergeCell ref="A92:A95"/>
    <mergeCell ref="A118:A121"/>
    <mergeCell ref="A114:A117"/>
    <mergeCell ref="A112:A113"/>
    <mergeCell ref="A110:A111"/>
    <mergeCell ref="A106:A109"/>
    <mergeCell ref="C118:C121"/>
    <mergeCell ref="C114:C117"/>
    <mergeCell ref="C112:C113"/>
    <mergeCell ref="C110:C111"/>
    <mergeCell ref="C106:C109"/>
    <mergeCell ref="C104:C105"/>
    <mergeCell ref="C102:C103"/>
    <mergeCell ref="C98:C101"/>
    <mergeCell ref="C96:C97"/>
    <mergeCell ref="C92:C95"/>
    <mergeCell ref="C88:C91"/>
    <mergeCell ref="C84:C87"/>
    <mergeCell ref="C82:C83"/>
    <mergeCell ref="C80:C81"/>
    <mergeCell ref="C78:C79"/>
    <mergeCell ref="C76:C77"/>
    <mergeCell ref="C72:C75"/>
    <mergeCell ref="C70:C71"/>
    <mergeCell ref="C66:C69"/>
    <mergeCell ref="C62:C65"/>
    <mergeCell ref="C58:C61"/>
    <mergeCell ref="C56:C57"/>
    <mergeCell ref="C54:C55"/>
    <mergeCell ref="C50:C53"/>
    <mergeCell ref="C46:C49"/>
    <mergeCell ref="C42:C45"/>
    <mergeCell ref="C40:C41"/>
    <mergeCell ref="C38:C39"/>
    <mergeCell ref="C34:C37"/>
    <mergeCell ref="C32:C33"/>
    <mergeCell ref="C28:C31"/>
    <mergeCell ref="C24:C27"/>
    <mergeCell ref="C22:C23"/>
    <mergeCell ref="C20:C21"/>
    <mergeCell ref="C16:C19"/>
    <mergeCell ref="C12:C15"/>
    <mergeCell ref="C10:C11"/>
    <mergeCell ref="C6:C9"/>
    <mergeCell ref="C4:C5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Shuyi Luo</dc:creator>
  <cp:lastModifiedBy>Shuyi Luo</cp:lastModifiedBy>
  <dcterms:created xsi:type="dcterms:W3CDTF">2026-03-19T16:17:20Z</dcterms:created>
  <dcterms:modified xsi:type="dcterms:W3CDTF">2026-07-16T15:49:00Z</dcterms:modified>
</cp:coreProperties>
</file>